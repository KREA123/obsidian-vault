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P:\GHIDURI DESCP\P1_O REGIUNE COMPETITIVĂ PRIN INOVARE, DIGITALIZARE ȘI ÎNTREPRINDERI DINAMICE\1.1 PROOF OF CONCEPT\! Martie_2026\_Versiunea Consultare\finale_transmise spre publicare_03.06.2026\"/>
    </mc:Choice>
  </mc:AlternateContent>
  <xr:revisionPtr revIDLastSave="0" documentId="13_ncr:1_{222598BA-E3F1-4D1E-8987-1CB9D71026FA}" xr6:coauthVersionLast="47" xr6:coauthVersionMax="47" xr10:uidLastSave="{00000000-0000-0000-0000-000000000000}"/>
  <bookViews>
    <workbookView xWindow="-108" yWindow="-108" windowWidth="23256" windowHeight="13896" xr2:uid="{2C82B2A6-D23E-4088-9588-D6AEB40E9445}"/>
  </bookViews>
  <sheets>
    <sheet name="Grila ETF 1.1 PoC" sheetId="9" r:id="rId1"/>
  </sheets>
  <definedNames>
    <definedName name="_xlnm.Print_Area" localSheetId="0">'Grila ETF 1.1 PoC'!$A$1:$D$89</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4" i="9" l="1"/>
  <c r="C19" i="9"/>
  <c r="C81" i="9"/>
  <c r="C76" i="9"/>
  <c r="C71" i="9"/>
  <c r="C70" i="9" s="1"/>
  <c r="C66" i="9"/>
  <c r="C61" i="9"/>
  <c r="C60" i="9" s="1"/>
  <c r="C52" i="9"/>
  <c r="C47" i="9"/>
  <c r="C40" i="9"/>
  <c r="C39" i="9" s="1"/>
  <c r="C35" i="9"/>
  <c r="C30" i="9"/>
  <c r="C25" i="9"/>
  <c r="C15" i="9"/>
  <c r="C85" i="9" l="1"/>
</calcChain>
</file>

<file path=xl/sharedStrings.xml><?xml version="1.0" encoding="utf-8"?>
<sst xmlns="http://schemas.openxmlformats.org/spreadsheetml/2006/main" count="143" uniqueCount="135">
  <si>
    <t>Program: Programul Regional București-Ilfov 2021-2027</t>
  </si>
  <si>
    <t>Prioritate: 1. O regiune competitivă prin inovare, digitalizare și întreprinderi dinamice</t>
  </si>
  <si>
    <t>Obiectiv de politică: 1. O Europă mai competitivă și mai inteligentă, prin promovarea unei transformări economice inovatoare și inteligente și a conectivității TIC regionale</t>
  </si>
  <si>
    <t>Obiectiv specific: OS 1.1. Dezvoltarea și sporirea capacităților de cercetare și inovare și adoptarea tehnologiilor avansate (FEDR)</t>
  </si>
  <si>
    <t>CRITERII DE EVALUARE (EVALUARE CALITATE ȘI PRIORITIZARE SAU EVALUARE TEHNICĂ ȘI FINANCIARĂ CONFORM OUG NR. 23/2023)</t>
  </si>
  <si>
    <t>Contribuția proiectului la atingerea obiectivului specific OS 1.1</t>
  </si>
  <si>
    <t>1.1.</t>
  </si>
  <si>
    <t xml:space="preserve">Încadrarea proiectului în  domeniul/iile de specializare inteligentă din  Strategia de Specializare Inteligentă (RIS3) a Regiunii București Ilfov </t>
  </si>
  <si>
    <t>1.2.</t>
  </si>
  <si>
    <t>1.3.</t>
  </si>
  <si>
    <t>Sediul social/punct de lucru al solicitantului</t>
  </si>
  <si>
    <t>a. Solicitantul deține sediu social/punct de lucru autorizat în București sau județul Ilfov înregistrat cel târziu la 31.12.2025.</t>
  </si>
  <si>
    <t>1.4.</t>
  </si>
  <si>
    <t>Diseminarea rezultatelor cercetării rezultate din proiect</t>
  </si>
  <si>
    <t>1.5.</t>
  </si>
  <si>
    <t>2.1.</t>
  </si>
  <si>
    <t>Calitatea planului de afaceri</t>
  </si>
  <si>
    <t>b. Planul de afaceri descrie în mod clar etapele de realizare a produsului/serviciului/procesului  inovator  urmărit a se realiza în perioada de implementare a proiectului.</t>
  </si>
  <si>
    <t>2.2.</t>
  </si>
  <si>
    <t>Coerenta și rezonabilitatea bugetului proiectului</t>
  </si>
  <si>
    <t>Calitatea și relevanța raportului științific privind nivelul de maturitate tehnologică (TRL)</t>
  </si>
  <si>
    <t>2.3.</t>
  </si>
  <si>
    <t>c. Activitățile propuse sunt coerente și adecvate pentru validarea tehnologiei la TRL 4–5.</t>
  </si>
  <si>
    <t>e. Planul de lucru este realist, etapizat logic, corelat cu obiectivele și rezultatele; conține termene și livrabile măsurabile.</t>
  </si>
  <si>
    <t>f. Sunt formulate ipoteze clare, indicatori științifici măsurabili și rezultate așteptate cuantificabile la finalul proiectului.</t>
  </si>
  <si>
    <t>Punctarea subcriteriului se face prin selectarea unei singure ipoteze și a punctajului aferent acesteia. Punctarea cu 0 nu conduce la respingerea proiectului.</t>
  </si>
  <si>
    <t>SUSTENABILITATE ȘI CONTRIBUȚIE LA TEME ORIZONTALE</t>
  </si>
  <si>
    <t>3.1.</t>
  </si>
  <si>
    <t>3.2.</t>
  </si>
  <si>
    <t>b. Un acord/protocol/scrisoare de interes sau echivalent depus</t>
  </si>
  <si>
    <t>c. Niciun acord/protocol/scrisoare de interes sau echivalent depus</t>
  </si>
  <si>
    <t>Contribuția   la  temele orizontale</t>
  </si>
  <si>
    <t>TOTAL PUNCTAJ</t>
  </si>
  <si>
    <t>Dacă în urma clarificărilor se obține îmbunătățirea calității documentelor depuse, nu se va putea obține o creștere a punctajului pentru criteriul respectiv, iar evaluarea, respectiv punctarea se va realiza pe baza documentelor depuse înainte de clarificări.</t>
  </si>
  <si>
    <t>b. Solicitantul deține sediu social/punct de lucru autorizat în București sau județul Ilfov înregistrat la momentul publicării variantei finale a Ghidului Solicitantului,  dar ulterior datei de 31.12.2025.</t>
  </si>
  <si>
    <t xml:space="preserve">În lipsa unor răspunsuri la solicitările de clarificări repetate sau în cazul primirii unor răspunsuri neconcludente, AM PR BI va finaliza etapa de evaluare și ia decizia privind rezultatul evaluării pe baza informațiilor existente. </t>
  </si>
  <si>
    <t>4.1.</t>
  </si>
  <si>
    <t>4.2.</t>
  </si>
  <si>
    <t>4.3.</t>
  </si>
  <si>
    <t xml:space="preserve">CAPACITATEA SOLICITANTULUI DE IMPLEMENTARE A PROIECTULUI </t>
  </si>
  <si>
    <t>Experiența echipei de proiect</t>
  </si>
  <si>
    <t>CALITATEA DOCUMENTAȚIEI DEPUSE</t>
  </si>
  <si>
    <t>EXPERIENȚA ÎN IMPLEMENTARE A UNOR PROIECTE DE CDI</t>
  </si>
  <si>
    <t>Punctajul subcriteriului este cumulativ. Punctarea cu 0 nu conduce la respingerea proiectului.</t>
  </si>
  <si>
    <t>Punctajul este cumulativ. Punctarea cu 0 nu conduce la respingerea proiectului.</t>
  </si>
  <si>
    <t>Punctajul este cumulativ Punctarea cu 0 nu conduce la respingerea proiectului.</t>
  </si>
  <si>
    <t>Verificare/Modalitate de evaluare/punctare</t>
  </si>
  <si>
    <t>Relevanța problemei/provocării adresate prin inovare</t>
  </si>
  <si>
    <t>a. Soluția inovativă răspunde unei probleme/provocări demonstrată ca fiind relevantă la nivel european/internațional.</t>
  </si>
  <si>
    <t>d. Soluția inovativă răspunde unei probleme/provocări demonstrată ca fiind relevantă la nivelul Solicitantului.</t>
  </si>
  <si>
    <t>Experiența membrilor-cheie ai echipei de implementare poate fi demonstrată, de exemplu, prin: CV-uri; fișe de post; contracte de muncă/colaborare; recomandări; documente care atestă participarea în proiecte sau activități CDI; publicații, brevete, lucrări tehnice sau contribuții relevante; documente privind rolul și responsabilitățile avute în cadrul unor proiecte similare; alte documente relevante care demonstrează experiența și competențele tehnice ale persoanelor implicate.
În cazul în care anumite posturi necesare implementării proiectului urmează să fie ocupate ulterior depunerii cererii de finanțare, solicitantul trebuie să demonstreze în mod credibil modalitatea prin care acestea vor fi asigurate în cadrul proiectului. (ex. prin cerințele specifice din fișele de post anexate la cererea de finanțare)</t>
  </si>
  <si>
    <t>ANEXA 10 - Grila de evaluare tehnică și financiară</t>
  </si>
  <si>
    <t>e. Sunt identificate şi detaliate posibilele riscuri în implementarea proiectului și identificate mecanisme de gestionare ale acestora, inclusiv riscul de eșec de cercetare prevăzut în ghid.</t>
  </si>
  <si>
    <t>a. Soluția inovativă (produs/proces/serviciu) rezultată din proiect integrează cel puțin un principiu de economie circulară aplicat direct asupra rezultatului proiectului.</t>
  </si>
  <si>
    <t>b.Soluția inovativă nu integrează principii de economie circulară aplicate direct asupra rezultatului proiectului.</t>
  </si>
  <si>
    <t>c. Solicitantul nu deține sediu social sau punct de lucru autorizat în București/Ilfov la momentul depunerii CF.</t>
  </si>
  <si>
    <t>c. Este făcută o analiză privind poziționarea competitivă (prețuri, canale de vanzare, model de business, modalități de promovare) a produsului/serviciului/procesului inovativ pe piață și sunt evidențiate avantajele raportat la concurență.</t>
  </si>
  <si>
    <t>a. Solicitantul demonstrează implementarea anterioară a cel puțin unui proiect/unei activități de CDI, indiferent de sursa de finanțare.</t>
  </si>
  <si>
    <t>a. Proiectul prevede publicarea rezultatelor cercetării în sisteme de tip open-access, peer-review.</t>
  </si>
  <si>
    <t xml:space="preserve">c. Proiectul  nu prevede publicarea rezultatelor cercetării în sisteme de tip open-access. </t>
  </si>
  <si>
    <t xml:space="preserve">b. Soluția inovativă răspunde unei probleme/provocări  demonstrată ca fiind relevantă la nivel național.
</t>
  </si>
  <si>
    <t>c. Soluția inovativă răspunde unei probleme/provocări demonstrată ca fiind relevantă la nivel regional.</t>
  </si>
  <si>
    <t xml:space="preserve">b. Proiectul  prevede publicarea rezultatelor cercetării în sisteme de tip open-access. </t>
  </si>
  <si>
    <t>a. Proiectul se încadrează în  două sau mai multe  domenii de specializare inteligentă RIS3 BI.</t>
  </si>
  <si>
    <t>b. Proiectul se încadrează într-un domeniu de specializare inteligentă RIS3 BI.</t>
  </si>
  <si>
    <t xml:space="preserve">Documente analizate: 
• Cererea de finanțare – secțiunile „Justificare”, „Obiectivul proiectului”, „Grup țintă”, „Descrierea investiției”;
• Planul de afaceri – capitolul „Piață și valoare adăugată” + capitolul „Tehnologie / produs / serviciu”;
• Raportul științific (TRL) – capitolul de încadrare tematică;
• Domeniul/subdomeniul RIS3 BI indicat de solicitant în CF.
Se verifică dacă solicitantul argumentează coerent încadrarea în unul sau mai multe domenii RIS3 BI, prin descrierea explicită a corespondenței dintre obiectivele/activitățile proiectului și domeniul/domeniile RIS3 BI invocat/e, susținută de elemente concrete (ex. tehnologii vizate, sectoare economice de aplicare, profilul echipei, piața-țintă etc.). Argumentarea trebuie să se regăsească consecvent în CF, Planul de afaceri și Raportul științific.
</t>
  </si>
  <si>
    <t>Integrarea principiilor economiei circulare în soluția inovativă propusă în proiect</t>
  </si>
  <si>
    <t xml:space="preserve">a. Nevoia de piață este bine definită și este identificat grupul-țintă al proiectului. </t>
  </si>
  <si>
    <t xml:space="preserve">Documente analizate:
• Cererea de finanțare – secțiunea „Buget – Justificare” și corelarea cu activitățile;
• Centralizator justificare costuri (Anexă obligatorie) – min. 2 surse pentru fiecare linie bugetară semnificativă;
• Oferte de preț, printscreen-uri website, cataloage, devize estimative – ca surse justificative;
Se va avea în vedere Ghidul Solicitantului – pentru pragurile aplicabile.
</t>
  </si>
  <si>
    <t>c. Costurile cu salariile brute eligibile ale personalului de cercetare-dezvoltare-inovare (CDI) și management de proiect finanțate în cadrul proiectului se încadrează în plafoanele prevăzute de Hotărârea Guvernului nr. 1188/29.09.2022, cu modificările și completările ulterioare și Legea nr. 183/2024 privind statutul personalului de cercetare, dezvoltare și inovare.</t>
  </si>
  <si>
    <t>a. Problema este formulată clar, este relevantă științific și economic pentru domeniul/iile de specializare inteligentă declarat/e, iar obiectivele sunt coerente cu scopul proiectului și ipoteza de cercetare.</t>
  </si>
  <si>
    <t>Punctajul subcriteriului este cumulativ. Punctarea cu 0 nu conduce la respingerea proiectului, cu condiția ca solicitantul să demonstreze, inclusiv prin răspunsurile la solicitările de clarificări, îndeplinirea condițiilor de eligibilitate.</t>
  </si>
  <si>
    <t>Documente analizate:
• Raport Stiintific TRL (model obligatoriu Anexa 17) –  semnat de expert independent sau colectiv științific în conformitate cu prevederile Ghidului Solicitantului.
• Cererea de finanțare – pentru coerența cu activitățile, calendarul, indicatorii și bugetul.
• Orice alte documente justificative relevante.
Punctajul se stabilește pe baza informațiilor disponibile la depunerea cererii de finanțare. Punctarea cu 0 nu conduce la respingerea proiectului, cu condiția ca solicitantul să demonstreze, inclusiv prin răspunsurile la solicitările de clarificări, îndeplinirea condițiilor de eligibilitate.</t>
  </si>
  <si>
    <t>Documente analizate:
• CV-uri ale echipei de proiect (model Europass sau echivalent), pentru toate persoanele nominalizate (personal de cercetare);
• Contracte/angajamente/declaratii de disponibilitate pentru personalul cheie externalizat (dacă este cazul) – contract individual de muncă, contract de prestări servicii, scrisoare de angajament/disponibilitate;
• Diplome/certificări/atestate pentru pozițiile cheie (anexate la CV);
• Lista publicațiilor/brevetelor/proiectelor anterioare ale echipei;
• Planul de afaceri – capitolul „Echipă”;
• Cererea de finanțare – secțiunea „Resurse Umane”.</t>
  </si>
  <si>
    <t>a. Echipa de proiect nominalizată la data depunerii cererii de finanțare deține competențe specifice de cercetare și experiență relevantă în domeniul de specializare al proiectului</t>
  </si>
  <si>
    <t>b. Echipa de proiect nominalizată la data depunerii cererii de finanțare deține parțial competențe specifice de cercetare și experiență relevantă în domeniul de specializare al proiectului</t>
  </si>
  <si>
    <t>c. Echipa de proiect nominalizată la data depunerii cererii de finanțare nu deține competențe specifice de cercetare și experiență relevantă în domeniul de specializare al proiectului</t>
  </si>
  <si>
    <t>Se va evalua experiența anterioară a solicitantului în implementarea unor activități sau proiecte de cercetare, dezvoltare și inovare (CDI).
Experiența solicitantului în implementarea activităților/proiectelor CDI poate fi demonstrată, de exemplu, prin: contracte de finanțare; contracte comerciale sau de cercetare; procese-verbale de recepție; rapoarte tehnice; documente privind rezultate obținute (prototipuri, demonstratoare, validări tehnologice etc.); publicații, brevete sau cereri de brevet; livrabile tehnice relevante;
recomandări sau documente emise de beneficiari/parteneri; alte documente relevante care demonstrează desfășurarea unor activități de cercetare, dezvoltare sau inovare.
Nu sunt considerate suficiente simple declarații ale solicitantului nesusținute prin documente justificative relevante.
Prin activități/proiecte CDI se înțeleg activități de cercetare industrială, dezvoltare experimentală, validare tehnologică, proof of concept, dezvoltare de prototipuri, testare experimentală, transfer tehnologic sau alte activități similare care presupun dezvoltare și/sau validare tehnologică.</t>
  </si>
  <si>
    <t>Sustenabilitatea proiectului - plan de valorificare / strategie post-proiect</t>
  </si>
  <si>
    <t>c.  Elemente din strategie lipsesc sau informațiile prezentate nu permit evaluarea realistă a continuării dezvoltării tehnologice (după caz) și a valorificării economice a rezultatelor.</t>
  </si>
  <si>
    <t>a.  Proiectul include o strategie clară de continuare a dezvoltării tehnologice (după caz) și de valorificare economică a rezultatelor după finalizarea finanțării PoC.</t>
  </si>
  <si>
    <t>b. Strategia de continuare a dezvoltării tehnologice (după caz) și de valorificare economică a rezultatelor după finalizarea finanțării PoC  este prezentată parțial și tratează majoritatea elementelor solicitate, însă anumite componente sunt insuficient detaliate, slab corelate între ele sau formulate generic.</t>
  </si>
  <si>
    <t xml:space="preserve">Documente analizate:
• Planul de afaceri – vi. Strategie de continuare a dezvoltării tehnologice; Proiecții financiare 
• Cererea de finanțare – secțiunea „Sustenabilitate / durabilitate”;
Se verifică dacă strategia de continuare a dezvoltării tehnologie și de valorificare economică a rezultatelor după finalizarea finanțării PoC este clară și cuprinde cumulativ:
    (i) traseul tehnologic post-PoC, după caz (TRL țintă post-proiect, etape, cerințe pentru atingerea nivelurilor superioare de TRL);
    (ii) strategia de valorificare economică (model de business: comercializare directă, licențiere, parteneriat cu industrie etc.);
    (iii) sursele de finanțare avute în vedere (capital propriu, atragere investitori privați, alte programe naționale/europene);
    (iv) calendarul orientativ pentru cel puțin 5 ani post-finalizare;
    (v) corelarea cu rezultatele PoC (rezultatul validat la TRL 4–5 reprezintă punctul de pornire pentru etapa următoare).
</t>
  </si>
  <si>
    <t xml:space="preserve">Potențialul de valorificare a proiectului dovedit prin încheierea de acorduri/protocoale/scrisori de interes vizând  colaborări  pentru promovarea și valorificarea produsului/serviciului/procesului inovativ dezvoltat în proiect </t>
  </si>
  <si>
    <t>a. Două sau mai multe  acorduri/protocoale/scrisori de interes sau echivalent depuse</t>
  </si>
  <si>
    <t xml:space="preserve">a. Proiectul prevede implicarea tinerilor încadrați în învățământul superior în activitățile de CD ale proiectului. 
</t>
  </si>
  <si>
    <t>a. Cheltuielile sunt corect încadrate în categoria celor eligibile, sunt corelate cu activitățile proiectului iar pragurile  de cheltuieli sunt respectate conform prevederilor Ghidului Solicitantului.</t>
  </si>
  <si>
    <t>b. Proiectul include minimum o măsură suplimentară pentru egalitate de șanse, nediscriminare (în plus față de cea menționată la subcriteriul 4.3a.)  (conform  Metodologiei privind respectarea principiilor teme orizontale:
https://www.adrbi.ro/programe-regionale/por-bi-2021-2027/metodologie-principii-orizontale/)</t>
  </si>
  <si>
    <t>b. Nivelul TRL de la care pornește proiectul este corect identificat și argumentat prin dovezi (ex.: rezultate experimentale, prototipuri, publicații, brevete etc.).</t>
  </si>
  <si>
    <t>d. Sunt prezentate corect și coerent resursele necesare pentru trecerea la nivelurile TRL superioare (ex. infrastructură, accesul la laboratoare, posibile afilieri academice sau cu organizații de cercetare etc.).</t>
  </si>
  <si>
    <t xml:space="preserve">Documente analizate:
• Cererea de finanțare – secțiunea „Principii orizontale”;
• Planul de afaceri – capitolele privind organizarea internă (HR, condiții de muncă);
• Eventuale politici interne ale solicitantului anexate (politica de egalitate, politica de mediu, certificări – ex.: ISO 14001, ISO 45001, certificări de incluziune etc.).
• Documente justificative prin care să se facă dovada împlicării a minim unei persoană tinere cu vârsta de maxim 24 ani încadrate în învățământul superior în activitățile de cercetare. (ex. Dovada încadrării în învățământul superior, CIM, Fisă de post și/sau alt document relevant). 
</t>
  </si>
  <si>
    <r>
      <rPr>
        <b/>
        <sz val="10"/>
        <rFont val="Calibri"/>
        <family val="2"/>
      </rPr>
      <t>5 puncte</t>
    </r>
    <r>
      <rPr>
        <sz val="10"/>
        <rFont val="Calibri"/>
        <family val="2"/>
      </rPr>
      <t xml:space="preserve"> – Proiectul se încadrează în  două sau mai multe  domenii de specializare inteligentă RIS3 BI.</t>
    </r>
  </si>
  <si>
    <r>
      <rPr>
        <b/>
        <sz val="10"/>
        <rFont val="Calibri"/>
        <family val="2"/>
      </rPr>
      <t xml:space="preserve">0 puncte </t>
    </r>
    <r>
      <rPr>
        <sz val="10"/>
        <rFont val="Calibri"/>
        <family val="2"/>
      </rPr>
      <t xml:space="preserve">– Proiectul se încadrează într-un singur domeniu RIS3 BI. </t>
    </r>
  </si>
  <si>
    <r>
      <rPr>
        <b/>
        <sz val="10"/>
        <rFont val="Calibri"/>
        <family val="2"/>
      </rPr>
      <t>15 puncte</t>
    </r>
    <r>
      <rPr>
        <sz val="10"/>
        <rFont val="Calibri"/>
        <family val="2"/>
      </rPr>
      <t xml:space="preserve"> – Problema/provocarea este demonstrată ca fiind relevantă la nivel european și/sau internațional, afectând în mod demonstrat un sector economic, domeniu tehnologic, lanț valoric sau categorie relevantă de utilizatori la scară largă. Solicitantul demonstrează existența și amploarea problemei prin argumente și dovezi relevante și justifică necesitatea dezvoltării și validării unei soluții inovatoare pentru adresarea acesteia.</t>
    </r>
  </si>
  <si>
    <r>
      <rPr>
        <b/>
        <sz val="10"/>
        <rFont val="Calibri"/>
        <family val="2"/>
      </rPr>
      <t>10 puncte</t>
    </r>
    <r>
      <rPr>
        <sz val="10"/>
        <rFont val="Calibri"/>
        <family val="2"/>
      </rPr>
      <t xml:space="preserve"> –  Problema/provocarea este demonstrată ca fiind relevantă la nivel național, afectând în mod demonstrat un sector economic, domeniu tehnologic sau categorie relevantă de utilizatori la nivel național. Solicitantul justifică relevanța și impactul problemei prin argumente și dovezi verificabile și demonstrează necesitatea dezvoltării unei soluții inovatoare pentru adresarea acesteia.</t>
    </r>
  </si>
  <si>
    <r>
      <rPr>
        <b/>
        <sz val="10"/>
        <rFont val="Calibri"/>
        <family val="2"/>
      </rPr>
      <t>5 puncte</t>
    </r>
    <r>
      <rPr>
        <sz val="10"/>
        <rFont val="Calibri"/>
        <family val="2"/>
      </rPr>
      <t xml:space="preserve">  –  Problema/provocarea este demonstrată ca fiind relevantă la nivel regional, afectând ecosistemul regional, un sector regional sau o categorie relevantă de actori din regiune. Solicitantul demonstrează relevanța regională și corelarea cu contextul economic și tehnologic regional. Solicitantul demonstrează necesitatea dezvoltării unei soluții inovatoare pentru adresarea acesteia. </t>
    </r>
  </si>
  <si>
    <r>
      <rPr>
        <b/>
        <sz val="10"/>
        <rFont val="Calibri"/>
        <family val="2"/>
      </rPr>
      <t>0 puncte</t>
    </r>
    <r>
      <rPr>
        <sz val="10"/>
        <rFont val="Calibri"/>
        <family val="2"/>
      </rPr>
      <t xml:space="preserve"> – Problema/provocarea descrisă vizează predominant nevoi interne ale solicitantului, fără demonstrarea unei relevanțe extinse la nivel regional, național sau internațional. Solicitantul demonstrează necesitatea dezvoltării unei soluții inovatoare pentru adresarea acesteia.</t>
    </r>
  </si>
  <si>
    <r>
      <t xml:space="preserve">Documente analizate:
• Cererea de finanțare – secțiunea de identificare a solicitantului;
• Certificat constatator ONRC emis cu cel mult 30 de zile anterior depunerii CF;
• Furnizare ONRC sau extras din portalul oficial recom.onrc.ro pentru verificarea datei de înregistrare a sediului social/secundar.
</t>
    </r>
    <r>
      <rPr>
        <b/>
        <i/>
        <sz val="10"/>
        <color rgb="FF0070C0"/>
        <rFont val="Calibri"/>
        <family val="2"/>
      </rPr>
      <t xml:space="preserve">Se verifică în baza certificatului constatator în termen de valabilitate la data prezentării acestuia. </t>
    </r>
  </si>
  <si>
    <r>
      <rPr>
        <b/>
        <sz val="10"/>
        <rFont val="Calibri"/>
        <family val="2"/>
      </rPr>
      <t>5 puncte</t>
    </r>
    <r>
      <rPr>
        <sz val="10"/>
        <rFont val="Calibri"/>
        <family val="2"/>
      </rPr>
      <t xml:space="preserve"> – Sediul social SAU cel puțin un punct de lucru autorizat în regiunea București-Ilfov, înregistrat la ONRC cel târziu la 31.12.2025.</t>
    </r>
  </si>
  <si>
    <r>
      <rPr>
        <b/>
        <sz val="10"/>
        <rFont val="Calibri"/>
        <family val="2"/>
      </rPr>
      <t>2 puncte</t>
    </r>
    <r>
      <rPr>
        <sz val="10"/>
        <rFont val="Calibri"/>
        <family val="2"/>
      </rPr>
      <t xml:space="preserve"> – Sediul social SAU punctul de lucru autorizat în regiunea București-Ilfov a fost înregistrat la ONRC la data publicării variantei finale a Ghidului Solicitantului, dar ulterior datei de 31.12.2025.</t>
    </r>
  </si>
  <si>
    <r>
      <rPr>
        <b/>
        <sz val="10"/>
        <rFont val="Calibri"/>
        <family val="2"/>
      </rPr>
      <t>0 puncte</t>
    </r>
    <r>
      <rPr>
        <sz val="10"/>
        <rFont val="Calibri"/>
        <family val="2"/>
      </rPr>
      <t xml:space="preserve"> – Solicitantul nu deține sediu social sau punct de lucru autorizat în regiunea București-Ilfov la momentul depunerii CF, însă își asumă prin declarația unică înregistrarea la ONRC a sediului social sau punctului de lucru desemnat ca locație de implementare a proiectului în regiunea București-Ilfov.</t>
    </r>
  </si>
  <si>
    <r>
      <t xml:space="preserve">Documente analizate:
• Cererea de finanțare – secțiunile „Activități”, „Buget” (linii bugetare dedicate diseminării/publicării), „Indicatori”;
• Raportul științific – capitolul de plan de diseminare/valorificare;
• Planul de afaceri – capitolul de strategie de continuare a dezvoltarii tehnologice (corelare cu protecția IP).
Pentru acordarea punctajului aferent criteriului, solicitantul trebuie fie să includă în bugetul proiectului cheltuieli dedicate publicării rezultatelor, fie să precizeze în mod clar că publicarea va fi realizată fără costuri de publicare, cu justificarea corespunzătoare și indicarea unor soluții concrete de publicare gratuită.
Regulă de corelare cu IP: dacă solicitantul declară explicit în Planul de afaceri (cap. 6.2 – Plan de protecție a proprietății intelectuale) o strategie de protecție prin brevet care impune secvențierea „Patent first, publish later”, evaluatorul va verifica coerența calendarului de activități (depunerea cererii de brevet anterior diseminării) și nu va depuncta proiectul pentru o diseminare planificată după obținerea protecției IP.
</t>
    </r>
    <r>
      <rPr>
        <b/>
        <i/>
        <sz val="10"/>
        <color rgb="FF0070C0"/>
        <rFont val="Calibri"/>
        <family val="2"/>
      </rPr>
      <t>„Sistem de tip Open Access”</t>
    </r>
    <r>
      <rPr>
        <i/>
        <sz val="10"/>
        <color rgb="FF0070C0"/>
        <rFont val="Calibri"/>
        <family val="2"/>
      </rPr>
      <t xml:space="preserve"> – sistem prin care publicațiile, datele, rezultatele cercetării sau alte resurse aferente activităților de cercetare-dezvoltare și inovare sunt puse la dispoziția publicului, gratuit, prin internet sau alte mijloace electronice, permițând utilizatorilor accesul, consultarea, descărcarea, copierea, distribuirea, indexarea și reutilizarea acestora în scopuri legale, fără bariere financiare, tehnice sau juridice nejustificate, cu respectarea drepturilor de proprietate intelectuală și a obligației de recunoaștere a autorului și a sursei. 
</t>
    </r>
    <r>
      <rPr>
        <b/>
        <i/>
        <sz val="10"/>
        <color rgb="FF0070C0"/>
        <rFont val="Calibri"/>
        <family val="2"/>
      </rPr>
      <t>Atenție! Se punctează exclusiv minim inițierea publicării în perioada de implementare a proiectului a rezultatelor cercetării în sisteme de tip Open Access care permit accesul public gratuit și asigură vizibilitatea și diseminarea acestora. Simpla publicare a rezultatelor pe pagina de internet a solicitantului, de exemplu, fără utilizarea unui sistem de tip Open Access, nu va fi considerată pentru acordarea punctajului aferent acestui criteriu.
În perioada de implementare, Solicitanții care au obținut punctaj pentru acest criteriu, vor face cel puțin dovada depunerii solicitării de publicare a rezultatelor în sisteme de tip open-acces cu/fără peer review, după caz.</t>
    </r>
    <r>
      <rPr>
        <i/>
        <sz val="10"/>
        <color rgb="FF0070C0"/>
        <rFont val="Calibri"/>
        <family val="2"/>
      </rPr>
      <t xml:space="preserve">
</t>
    </r>
  </si>
  <si>
    <r>
      <rPr>
        <b/>
        <sz val="10"/>
        <rFont val="Calibri"/>
        <family val="2"/>
      </rPr>
      <t>10 puncte</t>
    </r>
    <r>
      <rPr>
        <sz val="10"/>
        <rFont val="Calibri"/>
        <family val="2"/>
      </rPr>
      <t xml:space="preserve"> – Proiectul prevede explicit publicarea rezultatelor în sisteme de tip open-access (reviste/repozitare) cu peer-review (minim inițiere publicare în perioada de implementare).</t>
    </r>
  </si>
  <si>
    <r>
      <rPr>
        <b/>
        <sz val="10"/>
        <rFont val="Calibri"/>
        <family val="2"/>
      </rPr>
      <t>5 puncte</t>
    </r>
    <r>
      <rPr>
        <sz val="10"/>
        <rFont val="Calibri"/>
        <family val="2"/>
      </rPr>
      <t xml:space="preserve"> – Proiectul prevede publicarea în sisteme open-access fără peer-review (minim inițiere publicare în perioada de implementare).</t>
    </r>
  </si>
  <si>
    <r>
      <rPr>
        <b/>
        <sz val="10"/>
        <rFont val="Calibri"/>
        <family val="2"/>
      </rPr>
      <t>0 puncte</t>
    </r>
    <r>
      <rPr>
        <sz val="10"/>
        <rFont val="Calibri"/>
        <family val="2"/>
      </rPr>
      <t xml:space="preserve"> – Proiectul nu prevede publicarea rezultatelor în sisteme open-access.</t>
    </r>
  </si>
  <si>
    <r>
      <t xml:space="preserve">Documente analizate:
• Cererea de finanțare – secțiunile „Descrierea investiției” și „Principii orizontale – economie circulară”;
• Planul de afaceri 
• Raportul științific 
</t>
    </r>
    <r>
      <rPr>
        <b/>
        <i/>
        <sz val="10"/>
        <color rgb="FF0070C0"/>
        <rFont val="Calibri"/>
        <family val="2"/>
      </rPr>
      <t>Observație:</t>
    </r>
    <r>
      <rPr>
        <i/>
        <sz val="10"/>
        <color rgb="FF0070C0"/>
        <rFont val="Calibri"/>
        <family val="2"/>
      </rPr>
      <t xml:space="preserve"> simpla achiziție de echipamente eficiente din punct de vedere al consumului de resurse NU reprezintă contribuție la economia circulară în sensul acestui criteriu – principiile EC trebuie să se reflecte direct în produsul/procesul/serviciul inovativ rezultat din proiect.
Punctarea cu 0 nu conduce la respingerea proiectului.
</t>
    </r>
    <r>
      <rPr>
        <b/>
        <i/>
        <sz val="10"/>
        <color rgb="FF0070C0"/>
        <rFont val="Calibri"/>
        <family val="2"/>
      </rPr>
      <t>Criteriul evaluează contribuția intrinsecă a soluției inovative la economia circulară (caracteristicile produsului/procesului/serviciului rezultat din proiect), nu obligativitatea bugetării unor cheltuieli distincte.</t>
    </r>
  </si>
  <si>
    <r>
      <rPr>
        <b/>
        <sz val="10"/>
        <rFont val="Calibri"/>
        <family val="2"/>
      </rPr>
      <t xml:space="preserve"> 5 puncte </t>
    </r>
    <r>
      <rPr>
        <sz val="10"/>
        <rFont val="Calibri"/>
        <family val="2"/>
      </rPr>
      <t>– Soluția inovativă (produs/proces/serviciu) rezultată din proiect integrează cel puțin un principiu de economie circulară aplicat direct în modelul conceputal inovativ propus, descris explicit în CF/Planul de afaceri și demonstrabil prin elemente tehnice (ex.: design pentru reciclare/dezasamblare, utilizare materii prime secundare, prelungirea ciclului de viață, simbioză industrială, modele product-as-a-service, reducerea consumului de resurse pe unitatea de output etc.).</t>
    </r>
  </si>
  <si>
    <r>
      <rPr>
        <b/>
        <sz val="10"/>
        <rFont val="Calibri"/>
        <family val="2"/>
      </rPr>
      <t>0 puncte</t>
    </r>
    <r>
      <rPr>
        <sz val="10"/>
        <rFont val="Calibri"/>
        <family val="2"/>
      </rPr>
      <t xml:space="preserve"> – Soluția inovativă nu integrează principii de economie circulară aplicate direct asupra rezultatului proiectului, sau prezintă doar achiziții de echipamente eficiente energetic/resurse care nu se reflectă în caracteristicile rezultatului proiectului.</t>
    </r>
  </si>
  <si>
    <r>
      <t xml:space="preserve">Documente analizate:
• Planul de afaceri (model obligatoriu din Anexa la Ghid) – toate capitolele;
• Proiectia financiară pe 5 ani – pentru proiecții de costuri/venituri post-implementare;
• Cererea de finanțare – pentru coerența cu activitățile, bugetul și indicatorii.
Se va urmări corelarea informațiilor în toate documentele prezentate (Planul de afaceri/Cerere finantare/Raport TRL etc.).
</t>
    </r>
    <r>
      <rPr>
        <b/>
        <sz val="10"/>
        <rFont val="Calibri"/>
        <family val="2"/>
      </rPr>
      <t>P puncte (ex. 2p)</t>
    </r>
    <r>
      <rPr>
        <sz val="10"/>
        <rFont val="Calibri"/>
        <family val="2"/>
      </rPr>
      <t xml:space="preserve"> – îndeplinire integrală
Se acordă în situația în care toate elementele solicitate sunt prezentate explicit, informațiile sunt clare, coerente și corelate între ele în toată documentația proiectului, iar afirmațiile sunt susținute prin dovezi/surse verificabile (ex. link, trimitere către documente sau atașare etc.) și/sau argumente concrete.
</t>
    </r>
    <r>
      <rPr>
        <b/>
        <sz val="10"/>
        <rFont val="Calibri"/>
        <family val="2"/>
      </rPr>
      <t>P/2 puncte (ex. 1p)</t>
    </r>
    <r>
      <rPr>
        <sz val="10"/>
        <rFont val="Calibri"/>
        <family val="2"/>
      </rPr>
      <t xml:space="preserve"> – îndeplinire parțială
Se acordă în situația în care doar o parte dintre elementele solicitate sunt tratate sau acestea sunt prezentate insuficient, fără detalii relevante, necorelate între ele ori fără dovezi și/sau argumente suficiente care să susțină afirmațiile.
</t>
    </r>
    <r>
      <rPr>
        <b/>
        <sz val="10"/>
        <rFont val="Calibri"/>
        <family val="2"/>
      </rPr>
      <t>0 puncte</t>
    </r>
    <r>
      <rPr>
        <sz val="10"/>
        <rFont val="Calibri"/>
        <family val="2"/>
      </rPr>
      <t xml:space="preserve"> – neîndeplinire
Se acordă în situația în care informațiile lipsesc, sunt irelevante pentru subcriteriul evaluat sau sunt eronate ori contradictorii, neputând fi utilizate în mod valid în procesul de evaluare.
</t>
    </r>
    <r>
      <rPr>
        <b/>
        <sz val="10"/>
        <rFont val="Calibri"/>
        <family val="2"/>
      </rPr>
      <t>În perioada de implementare, Solicitanții care au obținut punctaj pentru criteriul 2.1 d, vor face dovada depunere dosar/dovada deschidere dosar protejare drepturi.</t>
    </r>
  </si>
  <si>
    <r>
      <t xml:space="preserve">
</t>
    </r>
    <r>
      <rPr>
        <b/>
        <sz val="10"/>
        <rFont val="Calibri"/>
        <family val="2"/>
      </rPr>
      <t>2 puncte</t>
    </r>
    <r>
      <rPr>
        <sz val="10"/>
        <rFont val="Calibri"/>
        <family val="2"/>
      </rPr>
      <t xml:space="preserve"> – TOATE liniile bugetare sunt încadrate corect pe categorii eligibile conform Ghidului, sunt corelate cu activitățile proiectului și TOATE pragurile sunt respectate.
</t>
    </r>
    <r>
      <rPr>
        <b/>
        <sz val="10"/>
        <rFont val="Calibri"/>
        <family val="2"/>
      </rPr>
      <t>1 punct</t>
    </r>
    <r>
      <rPr>
        <sz val="10"/>
        <rFont val="Calibri"/>
        <family val="2"/>
      </rPr>
      <t xml:space="preserve"> - O linie bugetară este încadrată incorect sau nu este corelată cu activitățile proiectului sau cel puțin un prag depășit.
</t>
    </r>
    <r>
      <rPr>
        <b/>
        <sz val="10"/>
        <rFont val="Calibri"/>
        <family val="2"/>
      </rPr>
      <t>0 puncte</t>
    </r>
    <r>
      <rPr>
        <sz val="10"/>
        <rFont val="Calibri"/>
        <family val="2"/>
      </rPr>
      <t xml:space="preserve"> – Mai mult de o linie bugetară încadrată incorect sau nu este corelată cu activitățile proiectului sau cel puțin un prag depășit.</t>
    </r>
    <r>
      <rPr>
        <strike/>
        <sz val="10"/>
        <rFont val="Calibri"/>
        <family val="2"/>
      </rPr>
      <t xml:space="preserve">
</t>
    </r>
    <r>
      <rPr>
        <sz val="10"/>
        <rFont val="Calibri"/>
        <family val="2"/>
      </rPr>
      <t xml:space="preserve">
</t>
    </r>
  </si>
  <si>
    <r>
      <t xml:space="preserve">b. Costurile investiției, </t>
    </r>
    <r>
      <rPr>
        <b/>
        <sz val="10"/>
        <color rgb="FF000000"/>
        <rFont val="Calibri"/>
        <family val="2"/>
      </rPr>
      <t>altele decât cele salariale</t>
    </r>
    <r>
      <rPr>
        <sz val="10"/>
        <color rgb="FF000000"/>
        <rFont val="Calibri"/>
        <family val="2"/>
      </rPr>
      <t xml:space="preserve">, sunt realiste (corect estimate), necesare pentru implementarea proiectului și suficient fundamentate prin oferte de preț/ cataloage/ website-uri, orice alte surse verificabile (cel puțin 2 surse) și corelare cu centralizatorul și bugetul proiectului.
</t>
    </r>
    <r>
      <rPr>
        <i/>
        <sz val="10"/>
        <color rgb="FF000000"/>
        <rFont val="Calibri"/>
        <family val="2"/>
      </rPr>
      <t>În cazuri temeinic justificate, se poate accepta o singură ofertă, doar în condițiile prezentării unei note justificative din partea solicitantului. Exemple de situații justificate pot fi:
•	echipamente/servicii cu caracter inovativ sau prototip care sunt disponibile la un singur furnizor;
•	produse/servicii care au specificații tehnice unice și nu permit alternative echivalente;
•	tehnologii emergente sau aplicații software disponibile exclusiv în regim proprietar;
•	drepturi de utilizare/licențiere unice, ce nu pot fi furnizate decât de un singur deținător legal.</t>
    </r>
  </si>
  <si>
    <r>
      <t xml:space="preserve">
</t>
    </r>
    <r>
      <rPr>
        <b/>
        <sz val="10"/>
        <rFont val="Calibri"/>
        <family val="2"/>
      </rPr>
      <t>3 puncte</t>
    </r>
    <r>
      <rPr>
        <sz val="10"/>
        <rFont val="Calibri"/>
        <family val="2"/>
      </rPr>
      <t xml:space="preserve"> –Toate liniile bugetare sunt fundamentate prin minimum 2 surse verificabile (oferte, printscreen-uri, cataloage etc.) sau este justificată în mod corespunzător încadrarea într-una dintre situațiile în care poate fi acceptată o singură ofertă.
</t>
    </r>
    <r>
      <rPr>
        <b/>
        <sz val="10"/>
        <rFont val="Calibri"/>
        <family val="2"/>
      </rPr>
      <t>1,5 puncte</t>
    </r>
    <r>
      <rPr>
        <sz val="10"/>
        <rFont val="Calibri"/>
        <family val="2"/>
      </rPr>
      <t xml:space="preserve"> – O linie bugetară nu este fundamentată prin minimum 2 surse verificabile sau nu este justificată corespunzător încadrarea într-una dintre situațiile în care poate fi acceptată o singură ofertă.
</t>
    </r>
    <r>
      <rPr>
        <b/>
        <sz val="10"/>
        <rFont val="Calibri"/>
        <family val="2"/>
      </rPr>
      <t>0 puncte</t>
    </r>
    <r>
      <rPr>
        <sz val="10"/>
        <rFont val="Calibri"/>
        <family val="2"/>
      </rPr>
      <t xml:space="preserve"> – Mai mult de o linie bugetară nu este fundamentată prin minimum 2 surse verificabile sau nu este justificată corespunzător încadrarea într-una dintre situațiile în care poate fi acceptată o singură ofertă.</t>
    </r>
  </si>
  <si>
    <r>
      <rPr>
        <b/>
        <sz val="10"/>
        <rFont val="Calibri"/>
        <family val="2"/>
      </rPr>
      <t>2 puncte</t>
    </r>
    <r>
      <rPr>
        <sz val="10"/>
        <rFont val="Calibri"/>
        <family val="2"/>
      </rPr>
      <t xml:space="preserve"> – Nivelurile salariale/costurile salariale eligibile propuse </t>
    </r>
    <r>
      <rPr>
        <b/>
        <sz val="10"/>
        <rFont val="Calibri"/>
        <family val="2"/>
      </rPr>
      <t>pentru întreg personalul</t>
    </r>
    <r>
      <rPr>
        <sz val="10"/>
        <rFont val="Calibri"/>
        <family val="2"/>
      </rPr>
      <t xml:space="preserve"> inclus în buget respectă plafoanele și condițiile aplicabile prevăzute de Hotărârea Guvernului nr. 1188/2022, cu modificările și completările ulterioare, și de Legea nr. 183/2024 privind statutul personalului de cercetare, dezvoltare și inovare.
</t>
    </r>
    <r>
      <rPr>
        <b/>
        <sz val="10"/>
        <rFont val="Calibri"/>
        <family val="2"/>
      </rPr>
      <t>1 punct</t>
    </r>
    <r>
      <rPr>
        <sz val="10"/>
        <rFont val="Calibri"/>
        <family val="2"/>
      </rPr>
      <t xml:space="preserve"> – Plafoanele și/sau condițiile aplicabile prevăzute de Hotărârea Guvernului nr. 1188/2022, cu modificările și completările ulterioare, și de Legea nr. 183/2024 nu sunt respectate </t>
    </r>
    <r>
      <rPr>
        <b/>
        <sz val="10"/>
        <rFont val="Calibri"/>
        <family val="2"/>
      </rPr>
      <t>pentru o singură persoană</t>
    </r>
    <r>
      <rPr>
        <sz val="10"/>
        <rFont val="Calibri"/>
        <family val="2"/>
      </rPr>
      <t xml:space="preserve"> inclusă în bugetul proiectului.
</t>
    </r>
    <r>
      <rPr>
        <b/>
        <sz val="10"/>
        <rFont val="Calibri"/>
        <family val="2"/>
      </rPr>
      <t>0 puncte</t>
    </r>
    <r>
      <rPr>
        <sz val="10"/>
        <rFont val="Calibri"/>
        <family val="2"/>
      </rPr>
      <t xml:space="preserve"> – Plafoanele și/sau condițiile aplicabile prevăzute de Hotărârea Guvernului nr. 1188/2022, cu modificările și completările ulterioare, și de Legea nr. 183/2024 nu sunt respectate pentru </t>
    </r>
    <r>
      <rPr>
        <b/>
        <sz val="10"/>
        <rFont val="Calibri"/>
        <family val="2"/>
      </rPr>
      <t xml:space="preserve">mai mult de o persoană </t>
    </r>
    <r>
      <rPr>
        <sz val="10"/>
        <rFont val="Calibri"/>
        <family val="2"/>
      </rPr>
      <t>inclusă în bugetul proiectului.</t>
    </r>
  </si>
  <si>
    <r>
      <t xml:space="preserve">Se verifică dacă problema tehnică sau științifică este formulată explicit, dacă sunt identificate clar nevoia, limitarea sau provocarea tehnologică vizată și dacă acestea sunt relevante pentru domeniul/domeniile RIS3 BI declarat/e. Se va analiza existența unei ipoteze de cercetare sau validare tehnologică, precum și corelarea dintre problemă, obiectivele proiectului și rezultatele urmărite. 
</t>
    </r>
    <r>
      <rPr>
        <b/>
        <sz val="10"/>
        <rFont val="Calibri"/>
        <family val="2"/>
      </rPr>
      <t>3 puncte</t>
    </r>
    <r>
      <rPr>
        <sz val="10"/>
        <rFont val="Calibri"/>
        <family val="2"/>
      </rPr>
      <t xml:space="preserve"> – Toate elementele solicitate sunt tratate explicit, coerent și corelat, fiind susținute prin argumente relevante și suficient fundamentate  care permit înțelegerea și verificarea contribuției tehnologice a proiectului;
</t>
    </r>
    <r>
      <rPr>
        <b/>
        <sz val="10"/>
        <rFont val="Calibri"/>
        <family val="2"/>
      </rPr>
      <t>1.5 puncte</t>
    </r>
    <r>
      <rPr>
        <sz val="10"/>
        <rFont val="Calibri"/>
        <family val="2"/>
      </rPr>
      <t xml:space="preserve"> – Criteriul este îndeplinit parțial, anumite elemente fiind insuficient detaliate, incomplet corelate sau insuficient fundamentate, însă informațiile prezentate permit, în ansamblu, înțelegerea scopului și direcției proiectului;
</t>
    </r>
    <r>
      <rPr>
        <b/>
        <sz val="10"/>
        <rFont val="Calibri"/>
        <family val="2"/>
      </rPr>
      <t>0 puncte</t>
    </r>
    <r>
      <rPr>
        <sz val="10"/>
        <rFont val="Calibri"/>
        <family val="2"/>
      </rPr>
      <t xml:space="preserve"> – Problema tehnică sau științifică nu este formulată clar și/sau nu este demonstrată relevanța pentru domeniul/domeniile RIS3 BI declarat/e și/sau obiectivele și ipoteza de cercetare sunt neclare, incoerente, predominant declarative sau insuficiente pentru verificarea contribuției tehnologice a proiectului.</t>
    </r>
  </si>
  <si>
    <r>
      <t xml:space="preserve">Se verifică dacă nivelul TRL declarat este justificat în raport cu definițiile standard TRL și dacă sunt prezentate dovezi obiective privind stadiul actual al tehnologiei, cum ar fi rezultate experimentale, prototipuri, publicații, brevete, teste sau demonstrații relevante. Simpla declarare a unui nivel TRL fără dovezi verificabile nu este suficientă pentru acordarea punctajului maxim. Nu se acceptă încadrări TRL bazate exclusiv pe intenții viitoare sau pe descrieri comerciale ale soluției.
</t>
    </r>
    <r>
      <rPr>
        <b/>
        <sz val="10"/>
        <rFont val="Calibri"/>
        <family val="2"/>
      </rPr>
      <t>2 puncte</t>
    </r>
    <r>
      <rPr>
        <sz val="10"/>
        <rFont val="Calibri"/>
        <family val="2"/>
      </rPr>
      <t xml:space="preserve"> – elementele solicitate sunt prezentate integral, coerent și susținute prin dovezi verificabile;
</t>
    </r>
    <r>
      <rPr>
        <b/>
        <sz val="10"/>
        <rFont val="Calibri"/>
        <family val="2"/>
      </rPr>
      <t>1 punct</t>
    </r>
    <r>
      <rPr>
        <sz val="10"/>
        <rFont val="Calibri"/>
        <family val="2"/>
      </rPr>
      <t xml:space="preserve"> – elementele sunt prezentate parțial sau insuficient detaliate;
</t>
    </r>
    <r>
      <rPr>
        <b/>
        <sz val="10"/>
        <rFont val="Calibri"/>
        <family val="2"/>
      </rPr>
      <t>0 puncte</t>
    </r>
    <r>
      <rPr>
        <sz val="10"/>
        <rFont val="Calibri"/>
        <family val="2"/>
      </rPr>
      <t xml:space="preserve"> – elementele lipsesc, sunt neclare sau nu permit verificarea criteriului.</t>
    </r>
  </si>
  <si>
    <r>
      <t xml:space="preserve">Se verifică dacă activitățile propuse sunt specifice validării experimentale și dezvoltării tehnologice și dacă acestea contribuie direct la atingerea nivelului TRL 4–5. Se verifică dacă activitățile sunt detaliate metodologic (ex. protocoale de testare, criterii de validare, mediu de testare relevanta etc.). 
</t>
    </r>
    <r>
      <rPr>
        <b/>
        <sz val="10"/>
        <rFont val="Calibri"/>
        <family val="2"/>
      </rPr>
      <t>3 puncte</t>
    </r>
    <r>
      <rPr>
        <sz val="10"/>
        <rFont val="Calibri"/>
        <family val="2"/>
      </rPr>
      <t xml:space="preserve"> – elementele solicitate sunt prezentate integral, în mod coerent și argumentat;
</t>
    </r>
    <r>
      <rPr>
        <b/>
        <sz val="10"/>
        <rFont val="Calibri"/>
        <family val="2"/>
      </rPr>
      <t>1,5 puncte</t>
    </r>
    <r>
      <rPr>
        <sz val="10"/>
        <rFont val="Calibri"/>
        <family val="2"/>
      </rPr>
      <t xml:space="preserve"> – elementele sunt prezentate parțial sau insuficient argumentat;
</t>
    </r>
    <r>
      <rPr>
        <b/>
        <sz val="10"/>
        <rFont val="Calibri"/>
        <family val="2"/>
      </rPr>
      <t>0 puncte</t>
    </r>
    <r>
      <rPr>
        <sz val="10"/>
        <rFont val="Calibri"/>
        <family val="2"/>
      </rPr>
      <t xml:space="preserve"> – elementele lipsesc, sunt neclare sau nu permit verificarea criteriului.</t>
    </r>
  </si>
  <si>
    <r>
      <t xml:space="preserve">Se verifică dacă sunt prezentate în mod realist și coerent resursele necesare implementării activităților CDI și validării tehnologiei propuse. Afirmațiile generale privind existența resurselor, nesusținute prin justificări sau documente relevante, nu sunt suficiente pentru acordarea punctajului.
</t>
    </r>
    <r>
      <rPr>
        <b/>
        <sz val="10"/>
        <rFont val="Calibri"/>
        <family val="2"/>
      </rPr>
      <t>3 puncte</t>
    </r>
    <r>
      <rPr>
        <sz val="10"/>
        <rFont val="Calibri"/>
        <family val="2"/>
      </rPr>
      <t xml:space="preserve"> – elementele solicitate sunt prezentate integral, coerent și detaliat;
</t>
    </r>
    <r>
      <rPr>
        <b/>
        <sz val="10"/>
        <rFont val="Calibri"/>
        <family val="2"/>
      </rPr>
      <t>1,5 puncte</t>
    </r>
    <r>
      <rPr>
        <sz val="10"/>
        <rFont val="Calibri"/>
        <family val="2"/>
      </rPr>
      <t xml:space="preserve"> – elementele sunt prezentate parțial sau sunt parțial corelate sau insuficient detaliate, însă permit, în ansamblu, susținerea implementării activităților propuse;
</t>
    </r>
    <r>
      <rPr>
        <b/>
        <sz val="10"/>
        <rFont val="Calibri"/>
        <family val="2"/>
      </rPr>
      <t>0 puncte</t>
    </r>
    <r>
      <rPr>
        <sz val="10"/>
        <rFont val="Calibri"/>
        <family val="2"/>
      </rPr>
      <t xml:space="preserve"> – elementele lipsesc, sunt neclare sau nu permit susținerea implementării activităților propuse/verificarea criteriului.
</t>
    </r>
  </si>
  <si>
    <r>
      <t xml:space="preserve">Se verifică dacă planul de lucru este structurat logic și realist, dacă activitățile sunt corelate cu obiectivele și rezultatele proiectului și dacă există termene și livrabile clare, verificabile și măsurabile. Se verifică dacă planificarea permite urmărirea și validarea progresului tehnologic.
</t>
    </r>
    <r>
      <rPr>
        <b/>
        <sz val="10"/>
        <rFont val="Calibri"/>
        <family val="2"/>
      </rPr>
      <t>2 puncte</t>
    </r>
    <r>
      <rPr>
        <sz val="10"/>
        <rFont val="Calibri"/>
        <family val="2"/>
      </rPr>
      <t xml:space="preserve"> – Planul de lucru este realist, structurat logic și corelat cu obiectivele, activitățile și rezultatele proiectului; sunt definite termene și livrabile clare, verificabile și măsurabile.
</t>
    </r>
    <r>
      <rPr>
        <b/>
        <sz val="10"/>
        <rFont val="Calibri"/>
        <family val="2"/>
      </rPr>
      <t>1 punct</t>
    </r>
    <r>
      <rPr>
        <sz val="10"/>
        <rFont val="Calibri"/>
        <family val="2"/>
      </rPr>
      <t xml:space="preserve"> – Planul de lucru este prezentat parțial sau insuficient detaliat, anumite activități, termene sau livrabile fiind formulate generic, incomplet corelate sau dificil de verificat.
</t>
    </r>
    <r>
      <rPr>
        <b/>
        <sz val="10"/>
        <rFont val="Calibri"/>
        <family val="2"/>
      </rPr>
      <t>0 puncte</t>
    </r>
    <r>
      <rPr>
        <sz val="10"/>
        <rFont val="Calibri"/>
        <family val="2"/>
      </rPr>
      <t xml:space="preserve"> – Elemente din planul de lucru lipsesc sau planul de lucru este neclar, incoerent sau nerealist și/sau nu permite verificarea progresului și a rezultatelor proiectului.
</t>
    </r>
  </si>
  <si>
    <r>
      <t xml:space="preserve">Se verifică dacă ipotezele formulate sunt clare, dacă sunt definiți indicatori tehnici sau științifici măsurabili și dacă rezultatele așteptate sunt cuantificabile și verificabile. Nu sunt considerate suficiente formulările generale de tip „îmbunătățire”, „optimizare” sau „creșterea performanței” în lipsa unor parametri măsurabili, unități de măsură și metode de verificare explicit definite.
</t>
    </r>
    <r>
      <rPr>
        <b/>
        <sz val="10"/>
        <rFont val="Calibri"/>
        <family val="2"/>
      </rPr>
      <t>2 puncte</t>
    </r>
    <r>
      <rPr>
        <sz val="10"/>
        <rFont val="Calibri"/>
        <family val="2"/>
      </rPr>
      <t xml:space="preserve"> – Sunt formulate clar ipotezele, indicatorii tehnici/științifici și rezultatele așteptate, acestea fiind definite prin parametri măsurabili, cuantificabili și verificabili.
</t>
    </r>
    <r>
      <rPr>
        <b/>
        <sz val="10"/>
        <rFont val="Calibri"/>
        <family val="2"/>
      </rPr>
      <t>1 punct</t>
    </r>
    <r>
      <rPr>
        <sz val="10"/>
        <rFont val="Calibri"/>
        <family val="2"/>
      </rPr>
      <t xml:space="preserve"> – Ipotezele, indicatorii sau rezultatele sunt formulate parțial, insuficient detaliat și/sau fără definirea clară a parametrilor și modalităților de verificare.
</t>
    </r>
    <r>
      <rPr>
        <b/>
        <sz val="10"/>
        <rFont val="Calibri"/>
        <family val="2"/>
      </rPr>
      <t>0 puncte</t>
    </r>
    <r>
      <rPr>
        <sz val="10"/>
        <rFont val="Calibri"/>
        <family val="2"/>
      </rPr>
      <t xml:space="preserve"> – Ipotezele, indicatorii sau rezultatele lipsesc și/sau sunt formulate generic și/sau nu permit verificarea rezultatelor proiectului.</t>
    </r>
  </si>
  <si>
    <r>
      <rPr>
        <b/>
        <sz val="10"/>
        <color rgb="FF000000"/>
        <rFont val="Calibri"/>
        <family val="2"/>
      </rPr>
      <t>5 puncte</t>
    </r>
    <r>
      <rPr>
        <sz val="10"/>
        <color rgb="FF000000"/>
        <rFont val="Calibri"/>
        <family val="2"/>
      </rPr>
      <t xml:space="preserve"> – Echipa nominalizată deține competențe dovedite și relevante pentru domeniul proiectului. Cumulativ:
    (i) coordonatorul tehnic/științific deține titlul de doctor în științe în domeniul de specializare al proiectului </t>
    </r>
    <r>
      <rPr>
        <b/>
        <sz val="10"/>
        <color rgb="FF000000"/>
        <rFont val="Calibri"/>
        <family val="2"/>
      </rPr>
      <t>SAU</t>
    </r>
    <r>
      <rPr>
        <sz val="10"/>
        <color rgb="FF000000"/>
        <rFont val="Calibri"/>
        <family val="2"/>
      </rPr>
      <t xml:space="preserve"> experiență dovedită ≥ 5 ani în domeniul de specializare al proiectului </t>
    </r>
    <r>
      <rPr>
        <b/>
        <sz val="10"/>
        <color rgb="FF000000"/>
        <rFont val="Calibri"/>
        <family val="2"/>
      </rPr>
      <t>SAU</t>
    </r>
    <r>
      <rPr>
        <sz val="10"/>
        <color rgb="FF000000"/>
        <rFont val="Calibri"/>
        <family val="2"/>
      </rPr>
      <t xml:space="preserve"> min. 2 proiecte CDI implementate cu succes ca director/coordonator de proiect în domeniul de specializare al proiectului;
    (ii) min. 1 expert tehnic/cercetător cu studii superioare în domeniul de specializare al proiectului și experiență ≥ 2 ani </t>
    </r>
    <r>
      <rPr>
        <b/>
        <sz val="10"/>
        <color rgb="FF000000"/>
        <rFont val="Calibri"/>
        <family val="2"/>
      </rPr>
      <t>SAU</t>
    </r>
    <r>
      <rPr>
        <sz val="10"/>
        <color rgb="FF000000"/>
        <rFont val="Calibri"/>
        <family val="2"/>
      </rPr>
      <t xml:space="preserve"> min. 1 publicație indexată Web of Science/Scopus  în domeniul de specializare al proiectului;</t>
    </r>
  </si>
  <si>
    <r>
      <rPr>
        <b/>
        <sz val="10"/>
        <color rgb="FF000000"/>
        <rFont val="Calibri"/>
        <family val="2"/>
      </rPr>
      <t>3 puncte</t>
    </r>
    <r>
      <rPr>
        <sz val="10"/>
        <color rgb="FF000000"/>
        <rFont val="Calibri"/>
        <family val="2"/>
      </rPr>
      <t xml:space="preserve"> – Echipa îndeplinește 1 din cele </t>
    </r>
    <r>
      <rPr>
        <sz val="10"/>
        <color rgb="FF7030A0"/>
        <rFont val="Calibri"/>
        <family val="2"/>
      </rPr>
      <t>2</t>
    </r>
    <r>
      <rPr>
        <sz val="10"/>
        <color rgb="FF000000"/>
        <rFont val="Calibri"/>
        <family val="2"/>
      </rPr>
      <t xml:space="preserve"> condiții cumulative de mai sus (lit. a.). </t>
    </r>
  </si>
  <si>
    <r>
      <rPr>
        <b/>
        <sz val="10"/>
        <rFont val="Calibri"/>
        <family val="2"/>
      </rPr>
      <t>0 puncte</t>
    </r>
    <r>
      <rPr>
        <sz val="10"/>
        <rFont val="Calibri"/>
        <family val="2"/>
      </rPr>
      <t xml:space="preserve"> – Echipa  nu îndeplinește niciuna din cele 2 condiții cumulative. </t>
    </r>
  </si>
  <si>
    <r>
      <t xml:space="preserve">
</t>
    </r>
    <r>
      <rPr>
        <b/>
        <i/>
        <sz val="10"/>
        <color rgb="FF0070C0"/>
        <rFont val="Calibri"/>
        <family val="2"/>
      </rPr>
      <t>Subcriteriul a)Documente analizate:</t>
    </r>
    <r>
      <rPr>
        <i/>
        <sz val="10"/>
        <color rgb="FF0070C0"/>
        <rFont val="Calibri"/>
        <family val="2"/>
      </rPr>
      <t xml:space="preserve">
• Cererea de finanțare - Asistență acordată anterior;
• Planul de afaceri
• Documente justificative privind experiența anterioară a solicitantului;
</t>
    </r>
    <r>
      <rPr>
        <b/>
        <i/>
        <sz val="10"/>
        <color rgb="FF0070C0"/>
        <rFont val="Calibri"/>
        <family val="2"/>
      </rPr>
      <t>Subcriteriul b)Documente analizate:</t>
    </r>
    <r>
      <rPr>
        <i/>
        <sz val="10"/>
        <color rgb="FF0070C0"/>
        <rFont val="Calibri"/>
        <family val="2"/>
      </rPr>
      <t xml:space="preserve">
• CV-uri ale echipei de proiect (model Europass sau echivalent), pentru toate persoanele nominalizate (personal de cercetare);
• Contracte/angajamente/declaratii de disponibilitate pentru personalul cheie externalizat (dacă este cazul) – contract individual de muncă, contract de prestări servicii, scrisoare de angajament/disponibilitate;
• Diplome/certificări/atestate pentru pozițiile cheie (anexate la CV);
• Lista publicațiilor/brevetelor/proiectelor anterioare ale echipei;
• Planul de afaceri – capitolul „Echipă”;
• Cererea de finanțare – secțiunea „Resurse Umane”.</t>
    </r>
  </si>
  <si>
    <r>
      <t>b. Cel puțin un membru al echipei de implementare propuse (</t>
    </r>
    <r>
      <rPr>
        <b/>
        <i/>
        <sz val="10"/>
        <rFont val="Calibri"/>
        <family val="2"/>
      </rPr>
      <t>altul decât cei evaluați la criteriul 3.1</t>
    </r>
    <r>
      <rPr>
        <sz val="10"/>
        <rFont val="Calibri"/>
        <family val="2"/>
      </rPr>
      <t>) demonstrează experiență relevantă în activități/proiecte de CDI similare domeniului proiectului propus.</t>
    </r>
  </si>
  <si>
    <r>
      <t xml:space="preserve">5 puncte – </t>
    </r>
    <r>
      <rPr>
        <sz val="10"/>
        <color rgb="FF000000"/>
        <rFont val="Calibri"/>
        <family val="2"/>
      </rPr>
      <t>Strategia este clară, coerentă și realistă și tratează explicit toate elementele solicitate. Sunt prezentate într-o manieră logică și corelată traseul tehnologic post-PoC, pașii necesari pentru atingerea nivelurilor superioare de maturitate tehnologică (după caz), mecanismul de valorificare economică, sursele de finanțare estimate și calendarul orientativ post-implementare. Strategia demonstrează continuitatea dezvoltării pornind de la rezultatele validate prin PoC și susține în mod credibil, după caz, posibilitatea maturizării și valorificării tehnologiei</t>
    </r>
    <r>
      <rPr>
        <b/>
        <sz val="10"/>
        <color rgb="FF000000"/>
        <rFont val="Calibri"/>
        <family val="2"/>
      </rPr>
      <t>.</t>
    </r>
  </si>
  <si>
    <r>
      <rPr>
        <b/>
        <sz val="10"/>
        <color rgb="FF000000"/>
        <rFont val="Calibri"/>
        <family val="2"/>
      </rPr>
      <t>2,5 puncte</t>
    </r>
    <r>
      <rPr>
        <sz val="10"/>
        <color rgb="FF000000"/>
        <rFont val="Calibri"/>
        <family val="2"/>
      </rPr>
      <t xml:space="preserve"> – Strategia este prezentată și tratează majoritatea elementelor solicitate, însă anumite componente sunt insuficient detaliate, slab corelate între ele sau formulate generic. Există o descriere a continuării dezvoltării (după caz) și/sau a valorificării economice, însă fără un nivel suficient de claritate privind etapele tehnologice, sursele de finanțare, calendarul post-proiect sau legătura dintre rezultatele PoC și etapele următoare de dezvoltare.</t>
    </r>
  </si>
  <si>
    <r>
      <rPr>
        <b/>
        <sz val="10"/>
        <rFont val="Calibri"/>
        <family val="2"/>
      </rPr>
      <t>0 puncte</t>
    </r>
    <r>
      <rPr>
        <sz val="10"/>
        <rFont val="Calibri"/>
        <family val="2"/>
      </rPr>
      <t xml:space="preserve"> – Elemente din strategie lipsesc sau informațiile prezentate nu permit evaluarea realistă a continuării dezvoltării tehnologice (după caz) și a valorificării economice a rezultatelor. Elementele solicitate sunt absente în mare măsură, contradictorii, nerelevante pentru proiect sau prezentate exclusiv la nivel declarativ, fără corelare cu rezultatele PoC și fără indicarea unui traseu credibil de maturizare și utilizare a tehnologiei după finalizarea finanțării.</t>
    </r>
  </si>
  <si>
    <r>
      <t xml:space="preserve">Documente analizate:
• Acorduri/protocoale/scrisori de interes (sau echivalent: memorandum of understanding, letter of intent) anexate la CF.
Cerințe MINIME OBLIGATORII pentru ca un document să fie considerat valid:
  (i) este specific proiectului depus (referință la titlul proiectului sau la rezultatul vizat);
  (ii) include descrierea soluției tehnice/comerciale vizate;
  (iii) descrie rolul partenerului (testare/pilot, co-dezvoltare, utilizare, distribuție, licențiere etc.);
  (iv) precizează forma de colaborare;
  (v) include orizontul temporal al colaborării (data de început și/sau durata);
  (vi) este semnat de reprezentantul legal al emitentului, cu precizarea numelui, funcției și datelor de contact (e-mail, telefon);
  (vii) este datat (cu cel mult 6 luni anterior depunerii CF).
</t>
    </r>
    <r>
      <rPr>
        <b/>
        <i/>
        <sz val="10"/>
        <color rgb="FF0070C0"/>
        <rFont val="Calibri"/>
        <family val="2"/>
      </rPr>
      <t>Doar documentele care îndeplinesc toate cele 7 cerințe minime sunt luate în considerare la punctare.</t>
    </r>
    <r>
      <rPr>
        <i/>
        <sz val="10"/>
        <color rgb="FF0070C0"/>
        <rFont val="Calibri"/>
        <family val="2"/>
      </rPr>
      <t xml:space="preserve">
</t>
    </r>
  </si>
  <si>
    <r>
      <rPr>
        <b/>
        <sz val="10"/>
        <color theme="1"/>
        <rFont val="Calibri"/>
        <family val="2"/>
      </rPr>
      <t>0 puncte</t>
    </r>
    <r>
      <rPr>
        <sz val="10"/>
        <color theme="1"/>
        <rFont val="Calibri"/>
        <family val="2"/>
      </rPr>
      <t xml:space="preserve"> – Niciun acord/protocol/scrisoare de interes sau echivalent valid(ă) depus(ă).</t>
    </r>
  </si>
  <si>
    <r>
      <rPr>
        <b/>
        <sz val="10"/>
        <rFont val="Calibri"/>
        <family val="2"/>
      </rPr>
      <t>2 puncte</t>
    </r>
    <r>
      <rPr>
        <sz val="10"/>
        <rFont val="Calibri"/>
        <family val="2"/>
      </rPr>
      <t xml:space="preserve"> – Proiectul include minimum o măsură suplimentară pentru egalitate de șanse, nediscriminare, în plus față de cea menționată la subcriteriul 4.3 a.
</t>
    </r>
    <r>
      <rPr>
        <b/>
        <sz val="10"/>
        <rFont val="Calibri"/>
        <family val="2"/>
      </rPr>
      <t>0 puncte</t>
    </r>
    <r>
      <rPr>
        <sz val="10"/>
        <rFont val="Calibri"/>
        <family val="2"/>
      </rPr>
      <t xml:space="preserve"> - Proiectul  nu include minimum o măsură suplimentară pentru egalitate de șanse, nediscriminare, în plus față de cea menționată la subcriteriul 4.3 a. </t>
    </r>
  </si>
  <si>
    <t>d. Solicitantul are deja protejate drepturile de proprietate intelectuală sau sunt prevăzute demersuri concrete pentru protejarea drepturilor de proprietate intelectuală aferente produsului, serviciului sau procesului inovativ rezultat din proiect, cel târziu până la finalul perioadei de implementare.</t>
  </si>
  <si>
    <r>
      <rPr>
        <b/>
        <sz val="10"/>
        <color theme="1"/>
        <rFont val="Calibri"/>
        <family val="2"/>
      </rPr>
      <t>4 puncte</t>
    </r>
    <r>
      <rPr>
        <sz val="10"/>
        <color theme="1"/>
        <rFont val="Calibri"/>
        <family val="2"/>
      </rPr>
      <t xml:space="preserve"> – Două sau mai multe acorduri/protocoale/scrisori de interes sau echivalent valide depuse, de la entități distincte.</t>
    </r>
  </si>
  <si>
    <r>
      <rPr>
        <b/>
        <sz val="10"/>
        <color theme="1"/>
        <rFont val="Calibri"/>
        <family val="2"/>
      </rPr>
      <t>2 puncte</t>
    </r>
    <r>
      <rPr>
        <sz val="10"/>
        <color theme="1"/>
        <rFont val="Calibri"/>
        <family val="2"/>
      </rPr>
      <t xml:space="preserve"> – Un acord/protocol/scrisoare de interes sau echivalent valid(ă) depus(ă).</t>
    </r>
  </si>
  <si>
    <r>
      <rPr>
        <b/>
        <sz val="10"/>
        <rFont val="Calibri"/>
        <family val="2"/>
      </rPr>
      <t>3 puncte</t>
    </r>
    <r>
      <rPr>
        <sz val="10"/>
        <rFont val="Calibri"/>
        <family val="2"/>
      </rPr>
      <t xml:space="preserve"> - Proiectul prevede implicarea a minim unei persoane tinere cu vârsta de maxim 24 ani încadrată în învățământul superior în activitățile de CD. 
</t>
    </r>
    <r>
      <rPr>
        <b/>
        <sz val="10"/>
        <rFont val="Calibri"/>
        <family val="2"/>
      </rPr>
      <t>0 puncte</t>
    </r>
    <r>
      <rPr>
        <sz val="10"/>
        <rFont val="Calibri"/>
        <family val="2"/>
      </rPr>
      <t xml:space="preserve"> - Proiectul nu prevede implicarea a minim unei persoane tinere cu vârsta de maxim 24 ani încadrată în învățământul superior în activitățile de CD. </t>
    </r>
  </si>
  <si>
    <r>
      <t xml:space="preserve">
Documente analizate (lista nu este exhaustivă putând fi prezentate și alte documente justificative relevante):
• Cererea de finanțare – secțiunea „Descrierea investiției” + „Justificarea necesității proiectului”;
• Raportul științific (TRL) – capitolele privind stadiul actual al tehnicii și demonstrația de concept de pornire;
• Planul de afaceri – capitolul „Analiza pieței / poziționare competitivă”;
• Documente IP (dacă există): cereri/brevete OSIM/EUIPO/EPO, licențe, certificări;
• Lista de publicații / rezultate CDI ale solicitantului sau echipei (anexă CF).
•Orice alte documente relevante
</t>
    </r>
    <r>
      <rPr>
        <b/>
        <i/>
        <sz val="10"/>
        <color rgb="FF0070C0"/>
        <rFont val="Calibri"/>
        <family val="2"/>
      </rPr>
      <t xml:space="preserve">Se va evalua nivelul la care problema, nevoia sau provocarea abordată prin proiect este relevantă și demonstrată, respectiv măsura în care aceasta se încadrează sau depășește nevoia internă a solicitantului și/sau afectează un ecosistem economic, industrial, tehnologic etc. mai larg. În cadrul evaluării se va analiza modul în care solicitantul definește și fundamentează problema/provocarea abordată, nivelul la care aceasta se manifestă (întreprindere, regional, național, european/internațional), amploarea și relevanța acesteia, existența unor limitări tehnologice, funcționale sau operaționale care justifică necesitatea dezvoltării și validării soluției propuse, precum și corelarea dintre problemă, soluția inovatoare propusă și rezultatele urmărite prin proiect.
Se va urmări în special dacă proiectul răspunde unor provocări reale, insuficient adresate prin soluțiile existente și care necesită activități de dezvoltare, experimentare sau validare tehnologică specifice CDI. 
Se evaluează dacă este argumentată problema/provocarea pe care proiectul urmărește să o adreseze, contextul în care aceasta se manifestă, actorii afectați, limitele sau efectele generate de problemă, nivelul la care aceasta este relevantă, precum și argumentele și dovezile care susțin existența și amploarea acesteia. Pentru fundamentarea incadrării vor fi utilizate, după caz, studii de piață, rapoarte tehnice sau sectoriale, statistici, documente strategice, benchmark-uri, literatură de specialitate, publicații științifice, standarde, analize economice sau industriale, documente RIS3, politici europene sau alte surse relevante și verificabile. 
Caracterul inovativ </t>
    </r>
    <r>
      <rPr>
        <i/>
        <sz val="10"/>
        <color rgb="FF0070C0"/>
        <rFont val="Calibri"/>
        <family val="2"/>
      </rPr>
      <t>al solutiei va fi demonstrat prin descrierea de elemente de diferențiere tehnologică relevante și verificabile față de soluțiile existente pe piață sau în domeniul vizat, demonstrate prin funcționalități noi și/sau îmbunătățiri tehnice semnificative, măsurabile și validate prin indicatori obiectivi.</t>
    </r>
    <r>
      <rPr>
        <b/>
        <i/>
        <sz val="10"/>
        <color rgb="FF0070C0"/>
        <rFont val="Calibri"/>
        <family val="2"/>
      </rPr>
      <t xml:space="preserve">
Nu se punctează simple afirmații declarative privind relevanța problemei sau caracterul inovator al soluției propuse, menționarea generică a unor tendințe, priorități strategice sau tehnologii emergente (ex. AI, blockchain, IoT etc.) fără demonstrarea unei probleme concrete și a unei contribuții tehnologice relevante, precum și proiectele care presupun exclusiv implementarea, integrarea sau utilizarea standard a unor soluții existente, fără activități de dezvoltare sau validare tehnologică specifice CDI.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</si>
</sst>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_l_e_i"/>
  </numFmts>
  <fonts count="19" x14ac:knownFonts="1">
    <font>
      <sz val="11"/>
      <color theme="1"/>
      <name val="Aptos Narrow"/>
      <family val="2"/>
      <charset val="1"/>
    </font>
    <font>
      <sz val="11"/>
      <color theme="1"/>
      <name val="Aptos Narrow"/>
      <family val="2"/>
      <scheme val="minor"/>
    </font>
    <font>
      <sz val="11"/>
      <color rgb="FF9C0006"/>
      <name val="Aptos Narrow"/>
      <family val="2"/>
      <charset val="1"/>
    </font>
    <font>
      <sz val="11"/>
      <color rgb="FF006100"/>
      <name val="Aptos Narrow"/>
      <family val="2"/>
      <charset val="1"/>
    </font>
    <font>
      <i/>
      <sz val="10"/>
      <color rgb="FF000000"/>
      <name val="Calibri"/>
      <family val="2"/>
    </font>
    <font>
      <i/>
      <sz val="10"/>
      <color rgb="FF0070C0"/>
      <name val="Calibri"/>
      <family val="2"/>
    </font>
    <font>
      <b/>
      <i/>
      <sz val="10"/>
      <color rgb="FF0070C0"/>
      <name val="Calibri"/>
      <family val="2"/>
    </font>
    <font>
      <sz val="10"/>
      <color theme="1"/>
      <name val="Calibri"/>
      <family val="2"/>
    </font>
    <font>
      <b/>
      <sz val="10"/>
      <color theme="1"/>
      <name val="Calibri"/>
      <family val="2"/>
    </font>
    <font>
      <b/>
      <i/>
      <sz val="10"/>
      <color theme="1"/>
      <name val="Calibri"/>
      <family val="2"/>
    </font>
    <font>
      <b/>
      <sz val="10"/>
      <color rgb="FF000000"/>
      <name val="Calibri"/>
      <family val="2"/>
    </font>
    <font>
      <sz val="10"/>
      <color rgb="FF000000"/>
      <name val="Calibri"/>
      <family val="2"/>
    </font>
    <font>
      <sz val="10"/>
      <name val="Calibri"/>
      <family val="2"/>
    </font>
    <font>
      <b/>
      <sz val="10"/>
      <name val="Calibri"/>
      <family val="2"/>
    </font>
    <font>
      <strike/>
      <sz val="10"/>
      <name val="Calibri"/>
      <family val="2"/>
    </font>
    <font>
      <sz val="10"/>
      <color rgb="FF7030A0"/>
      <name val="Calibri"/>
      <family val="2"/>
    </font>
    <font>
      <b/>
      <i/>
      <sz val="10"/>
      <name val="Calibri"/>
      <family val="2"/>
    </font>
    <font>
      <b/>
      <i/>
      <sz val="10"/>
      <color rgb="FFFF0000"/>
      <name val="Calibri"/>
      <family val="2"/>
    </font>
    <font>
      <b/>
      <sz val="10"/>
      <color rgb="FF2A2D2F"/>
      <name val="Calibri"/>
      <family val="2"/>
    </font>
  </fonts>
  <fills count="15">
    <fill>
      <patternFill patternType="none"/>
    </fill>
    <fill>
      <patternFill patternType="gray125"/>
    </fill>
    <fill>
      <patternFill patternType="solid">
        <fgColor rgb="FFFCE4D6"/>
        <bgColor rgb="FFE2EFD9"/>
      </patternFill>
    </fill>
    <fill>
      <patternFill patternType="solid">
        <fgColor rgb="FFFFFFFF"/>
        <bgColor rgb="FFE2EFDA"/>
      </patternFill>
    </fill>
    <fill>
      <patternFill patternType="solid">
        <fgColor theme="9" tint="0.79989013336588644"/>
        <bgColor rgb="FFE2EFD9"/>
      </patternFill>
    </fill>
    <fill>
      <patternFill patternType="solid">
        <fgColor rgb="FFFFC7CE"/>
        <bgColor rgb="FFFCE4D6"/>
      </patternFill>
    </fill>
    <fill>
      <patternFill patternType="solid">
        <fgColor rgb="FFC6EFCE"/>
        <bgColor rgb="FFD9F2D0"/>
      </patternFill>
    </fill>
    <fill>
      <patternFill patternType="solid">
        <fgColor theme="9" tint="0.79998168889431442"/>
        <bgColor indexed="64"/>
      </patternFill>
    </fill>
    <fill>
      <patternFill patternType="solid">
        <fgColor theme="9" tint="0.79998168889431442"/>
        <bgColor rgb="FFE2EFD9"/>
      </patternFill>
    </fill>
    <fill>
      <patternFill patternType="solid">
        <fgColor theme="5" tint="0.79998168889431442"/>
        <bgColor indexed="64"/>
      </patternFill>
    </fill>
    <fill>
      <patternFill patternType="solid">
        <fgColor theme="5" tint="0.79998168889431442"/>
        <bgColor rgb="FFE2EFDA"/>
      </patternFill>
    </fill>
    <fill>
      <patternFill patternType="solid">
        <fgColor theme="5" tint="0.79998168889431442"/>
        <bgColor rgb="FFE2EFD9"/>
      </patternFill>
    </fill>
    <fill>
      <patternFill patternType="solid">
        <fgColor theme="9" tint="0.79998168889431442"/>
        <bgColor rgb="FFE2EFDA"/>
      </patternFill>
    </fill>
    <fill>
      <patternFill patternType="solid">
        <fgColor theme="9" tint="0.79998168889431442"/>
        <bgColor rgb="FFD9F2D0"/>
      </patternFill>
    </fill>
    <fill>
      <patternFill patternType="solid">
        <fgColor theme="7" tint="0.59999389629810485"/>
        <bgColor rgb="FFD9F2D0"/>
      </patternFill>
    </fill>
  </fills>
  <borders count="2">
    <border>
      <left/>
      <right/>
      <top/>
      <bottom/>
      <diagonal/>
    </border>
    <border>
      <left style="dotted">
        <color auto="1"/>
      </left>
      <right style="dotted">
        <color auto="1"/>
      </right>
      <top style="dotted">
        <color auto="1"/>
      </top>
      <bottom style="dotted">
        <color auto="1"/>
      </bottom>
      <diagonal/>
    </border>
  </borders>
  <cellStyleXfs count="4">
    <xf numFmtId="0" fontId="0" fillId="0" borderId="0"/>
    <xf numFmtId="0" fontId="2" fillId="5" borderId="0"/>
    <xf numFmtId="0" fontId="3" fillId="6" borderId="0"/>
    <xf numFmtId="0" fontId="1" fillId="0" borderId="0"/>
  </cellStyleXfs>
  <cellXfs count="81">
    <xf numFmtId="0" fontId="0" fillId="0" borderId="0" xfId="0"/>
    <xf numFmtId="0" fontId="5" fillId="0" borderId="1" xfId="0" applyFont="1" applyBorder="1" applyAlignment="1">
      <alignment vertical="center" wrapText="1"/>
    </xf>
    <xf numFmtId="0" fontId="7" fillId="0" borderId="0" xfId="0" applyFont="1" applyAlignment="1">
      <alignment vertical="top"/>
    </xf>
    <xf numFmtId="0" fontId="7" fillId="0" borderId="0" xfId="0" applyFont="1" applyAlignment="1">
      <alignment vertical="center"/>
    </xf>
    <xf numFmtId="0" fontId="9" fillId="0" borderId="0" xfId="0" applyFont="1" applyAlignment="1">
      <alignment horizontal="justify" vertical="center"/>
    </xf>
    <xf numFmtId="0" fontId="7" fillId="0" borderId="0" xfId="0" applyFont="1" applyAlignment="1">
      <alignment horizontal="center" vertical="center"/>
    </xf>
    <xf numFmtId="0" fontId="8" fillId="0" borderId="1" xfId="0" applyFont="1" applyBorder="1" applyAlignment="1">
      <alignment vertical="top"/>
    </xf>
    <xf numFmtId="0" fontId="8" fillId="0" borderId="1" xfId="0" applyFont="1" applyBorder="1" applyAlignment="1">
      <alignment vertical="center"/>
    </xf>
    <xf numFmtId="0" fontId="8" fillId="0" borderId="1" xfId="0" applyFont="1" applyBorder="1" applyAlignment="1">
      <alignment horizontal="center" vertical="center"/>
    </xf>
    <xf numFmtId="0" fontId="10" fillId="2" borderId="1" xfId="0" applyFont="1" applyFill="1" applyBorder="1" applyAlignment="1">
      <alignment horizontal="center" vertical="top" wrapText="1"/>
    </xf>
    <xf numFmtId="0" fontId="10" fillId="2" borderId="1" xfId="0" applyFont="1" applyFill="1" applyBorder="1" applyAlignment="1">
      <alignment horizontal="justify"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8" borderId="1" xfId="0" applyFont="1" applyFill="1" applyBorder="1" applyAlignment="1">
      <alignment horizontal="justify" vertical="center" wrapText="1"/>
    </xf>
    <xf numFmtId="0" fontId="10" fillId="8" borderId="1" xfId="0" applyFont="1" applyFill="1" applyBorder="1" applyAlignment="1">
      <alignment horizontal="center" vertical="center" wrapText="1"/>
    </xf>
    <xf numFmtId="0" fontId="11" fillId="0" borderId="1" xfId="0" applyFont="1" applyBorder="1" applyAlignment="1">
      <alignment horizontal="justify" vertical="center" wrapText="1"/>
    </xf>
    <xf numFmtId="0" fontId="11"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justify"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3" borderId="1" xfId="0" applyFont="1" applyFill="1" applyBorder="1" applyAlignment="1">
      <alignment vertical="center" wrapText="1"/>
    </xf>
    <xf numFmtId="0" fontId="7" fillId="0" borderId="1" xfId="0" applyFont="1" applyBorder="1" applyAlignment="1">
      <alignment horizontal="center" vertical="center"/>
    </xf>
    <xf numFmtId="0" fontId="10" fillId="8" borderId="1" xfId="0" applyFont="1" applyFill="1" applyBorder="1" applyAlignment="1">
      <alignment vertical="center" wrapText="1"/>
    </xf>
    <xf numFmtId="0" fontId="10" fillId="13" borderId="1" xfId="0" applyFont="1" applyFill="1" applyBorder="1" applyAlignment="1">
      <alignment horizontal="center" vertical="center" wrapText="1"/>
    </xf>
    <xf numFmtId="0" fontId="12" fillId="3" borderId="1" xfId="1" applyFont="1" applyFill="1" applyBorder="1" applyAlignment="1">
      <alignment horizontal="center" vertical="center"/>
    </xf>
    <xf numFmtId="0" fontId="7" fillId="0" borderId="1" xfId="0" applyNumberFormat="1" applyFont="1" applyBorder="1" applyAlignment="1">
      <alignment vertical="center" wrapText="1"/>
    </xf>
    <xf numFmtId="0" fontId="12" fillId="3" borderId="1" xfId="1" applyFont="1" applyFill="1" applyBorder="1" applyAlignment="1">
      <alignment horizontal="center" vertical="center" wrapText="1"/>
    </xf>
    <xf numFmtId="0" fontId="8" fillId="8" borderId="1" xfId="0" applyFont="1" applyFill="1" applyBorder="1" applyAlignment="1">
      <alignment horizontal="center" vertical="center"/>
    </xf>
    <xf numFmtId="0" fontId="5" fillId="0" borderId="1" xfId="0" applyFont="1" applyFill="1" applyBorder="1" applyAlignment="1">
      <alignment vertical="center" wrapText="1"/>
    </xf>
    <xf numFmtId="0" fontId="7" fillId="0" borderId="1" xfId="0" applyFont="1" applyFill="1" applyBorder="1" applyAlignment="1">
      <alignment vertical="center" wrapText="1"/>
    </xf>
    <xf numFmtId="0" fontId="13" fillId="4" borderId="1" xfId="0" applyFont="1" applyFill="1" applyBorder="1" applyAlignment="1">
      <alignment vertical="center" wrapText="1"/>
    </xf>
    <xf numFmtId="0" fontId="7" fillId="4" borderId="0" xfId="0" applyFont="1" applyFill="1" applyAlignment="1">
      <alignment vertical="center"/>
    </xf>
    <xf numFmtId="0" fontId="10" fillId="2" borderId="1" xfId="0" applyFont="1" applyFill="1" applyBorder="1" applyAlignment="1">
      <alignment vertical="center" wrapText="1"/>
    </xf>
    <xf numFmtId="0" fontId="10" fillId="2" borderId="1" xfId="0" applyFont="1" applyFill="1" applyBorder="1" applyAlignment="1">
      <alignment horizontal="center" vertical="center"/>
    </xf>
    <xf numFmtId="0" fontId="11" fillId="0" borderId="1" xfId="0" applyFont="1" applyBorder="1" applyAlignment="1">
      <alignment vertical="center"/>
    </xf>
    <xf numFmtId="0" fontId="10" fillId="8" borderId="1" xfId="0" applyFont="1" applyFill="1" applyBorder="1" applyAlignment="1">
      <alignment horizontal="center" vertical="center"/>
    </xf>
    <xf numFmtId="0" fontId="7" fillId="0" borderId="1" xfId="0" applyFont="1" applyBorder="1" applyAlignment="1">
      <alignment horizontal="justify" vertical="center" wrapText="1"/>
    </xf>
    <xf numFmtId="0" fontId="11" fillId="0" borderId="1" xfId="0" applyFont="1" applyBorder="1" applyAlignment="1">
      <alignment horizontal="center" vertical="center"/>
    </xf>
    <xf numFmtId="0" fontId="12" fillId="0" borderId="1" xfId="0" applyFont="1" applyFill="1" applyBorder="1" applyAlignment="1">
      <alignment horizontal="justify" vertical="center" wrapText="1"/>
    </xf>
    <xf numFmtId="0" fontId="10" fillId="12" borderId="1" xfId="0" applyFont="1" applyFill="1" applyBorder="1" applyAlignment="1">
      <alignment vertical="center" wrapText="1"/>
    </xf>
    <xf numFmtId="0" fontId="10" fillId="12" borderId="1" xfId="0" applyFont="1" applyFill="1" applyBorder="1" applyAlignment="1">
      <alignment horizontal="center" vertical="center"/>
    </xf>
    <xf numFmtId="0" fontId="12" fillId="0" borderId="1" xfId="0" applyFont="1" applyFill="1" applyBorder="1" applyAlignment="1">
      <alignment vertical="center" wrapText="1"/>
    </xf>
    <xf numFmtId="0" fontId="11" fillId="0" borderId="1" xfId="0" applyFont="1" applyFill="1" applyBorder="1" applyAlignment="1">
      <alignment horizontal="justify" vertical="center" wrapText="1"/>
    </xf>
    <xf numFmtId="0" fontId="11" fillId="0" borderId="1" xfId="0" applyFont="1" applyFill="1" applyBorder="1" applyAlignment="1">
      <alignment horizontal="center" vertical="center"/>
    </xf>
    <xf numFmtId="0" fontId="5" fillId="0" borderId="1" xfId="0" applyFont="1" applyBorder="1" applyAlignment="1">
      <alignment horizontal="justify" vertical="center" wrapText="1"/>
    </xf>
    <xf numFmtId="0" fontId="5" fillId="0" borderId="1" xfId="0" applyFont="1" applyBorder="1" applyAlignment="1">
      <alignment horizontal="left" vertical="center" wrapText="1"/>
    </xf>
    <xf numFmtId="0" fontId="12" fillId="0" borderId="1" xfId="0" applyFont="1" applyBorder="1" applyAlignment="1">
      <alignment horizontal="left" vertical="center" wrapText="1"/>
    </xf>
    <xf numFmtId="0" fontId="11" fillId="0" borderId="1" xfId="0" applyFont="1" applyBorder="1" applyAlignment="1">
      <alignment horizontal="left" vertical="center" wrapText="1"/>
    </xf>
    <xf numFmtId="164" fontId="10" fillId="10" borderId="1" xfId="0" applyNumberFormat="1" applyFont="1" applyFill="1" applyBorder="1" applyAlignment="1">
      <alignment horizontal="center" vertical="top"/>
    </xf>
    <xf numFmtId="0" fontId="10" fillId="11" borderId="1" xfId="0" applyFont="1" applyFill="1" applyBorder="1" applyAlignment="1">
      <alignment vertical="center" wrapText="1"/>
    </xf>
    <xf numFmtId="0" fontId="10" fillId="9" borderId="1" xfId="0" applyFont="1" applyFill="1" applyBorder="1" applyAlignment="1">
      <alignment horizontal="center" vertical="center"/>
    </xf>
    <xf numFmtId="0" fontId="13" fillId="8" borderId="1" xfId="0" applyFont="1" applyFill="1" applyBorder="1" applyAlignment="1">
      <alignment horizontal="center" vertical="center" wrapText="1"/>
    </xf>
    <xf numFmtId="0" fontId="11" fillId="3" borderId="1" xfId="0" applyFont="1" applyFill="1" applyBorder="1" applyAlignment="1">
      <alignment vertical="center" wrapText="1"/>
    </xf>
    <xf numFmtId="0" fontId="11" fillId="0" borderId="1" xfId="0" applyFont="1" applyBorder="1" applyAlignment="1">
      <alignment vertical="center" wrapText="1"/>
    </xf>
    <xf numFmtId="0" fontId="13" fillId="12" borderId="1" xfId="0" applyFont="1" applyFill="1" applyBorder="1" applyAlignment="1">
      <alignment vertical="center" wrapText="1"/>
    </xf>
    <xf numFmtId="0" fontId="10" fillId="7" borderId="1" xfId="0" applyFont="1" applyFill="1" applyBorder="1" applyAlignment="1">
      <alignment horizontal="center" vertical="center"/>
    </xf>
    <xf numFmtId="0" fontId="11" fillId="0" borderId="1" xfId="0" applyFont="1" applyFill="1" applyBorder="1" applyAlignment="1">
      <alignment vertical="center" wrapText="1"/>
    </xf>
    <xf numFmtId="0" fontId="11" fillId="3" borderId="1" xfId="0" applyFont="1" applyFill="1" applyBorder="1" applyAlignment="1">
      <alignment horizontal="center" vertical="center"/>
    </xf>
    <xf numFmtId="0" fontId="10" fillId="0" borderId="1" xfId="0" applyFont="1" applyFill="1" applyBorder="1" applyAlignment="1">
      <alignment vertical="center" wrapText="1"/>
    </xf>
    <xf numFmtId="0" fontId="7" fillId="3" borderId="0" xfId="0" applyFont="1" applyFill="1" applyAlignment="1">
      <alignment vertical="center"/>
    </xf>
    <xf numFmtId="0" fontId="12" fillId="3" borderId="1" xfId="0" applyFont="1" applyFill="1" applyBorder="1" applyAlignment="1">
      <alignment vertical="center" wrapText="1"/>
    </xf>
    <xf numFmtId="0" fontId="12" fillId="0" borderId="1" xfId="0" applyFont="1" applyBorder="1" applyAlignment="1">
      <alignment horizontal="center" vertical="center"/>
    </xf>
    <xf numFmtId="0" fontId="12" fillId="14" borderId="1" xfId="2" applyFont="1" applyFill="1" applyBorder="1" applyAlignment="1">
      <alignment vertical="top"/>
    </xf>
    <xf numFmtId="0" fontId="13" fillId="14" borderId="1" xfId="2" applyFont="1" applyFill="1" applyBorder="1" applyAlignment="1">
      <alignment vertical="center" wrapText="1"/>
    </xf>
    <xf numFmtId="0" fontId="13" fillId="14" borderId="1" xfId="2" applyFont="1" applyFill="1" applyBorder="1" applyAlignment="1">
      <alignment horizontal="center" vertical="center"/>
    </xf>
    <xf numFmtId="0" fontId="7" fillId="0" borderId="1" xfId="0" applyFont="1" applyBorder="1" applyAlignment="1">
      <alignment vertical="center"/>
    </xf>
    <xf numFmtId="0" fontId="17" fillId="0" borderId="0" xfId="0" applyFont="1" applyAlignment="1">
      <alignment vertical="center"/>
    </xf>
    <xf numFmtId="0" fontId="9" fillId="0" borderId="0" xfId="0" applyFont="1" applyAlignment="1">
      <alignment vertical="center"/>
    </xf>
    <xf numFmtId="0" fontId="18" fillId="0" borderId="0" xfId="0" applyFont="1" applyAlignment="1">
      <alignment vertical="center"/>
    </xf>
    <xf numFmtId="0" fontId="8" fillId="4" borderId="1" xfId="0" applyFont="1" applyFill="1" applyBorder="1" applyAlignment="1">
      <alignment horizontal="center" vertical="center"/>
    </xf>
    <xf numFmtId="0" fontId="10" fillId="12" borderId="1" xfId="0" applyFont="1" applyFill="1" applyBorder="1" applyAlignment="1">
      <alignment horizontal="center" vertical="top" wrapText="1"/>
    </xf>
    <xf numFmtId="0" fontId="8" fillId="0" borderId="0" xfId="0" applyFont="1" applyAlignment="1">
      <alignment horizontal="center" vertical="center"/>
    </xf>
    <xf numFmtId="49" fontId="10" fillId="8" borderId="1" xfId="0" applyNumberFormat="1" applyFont="1" applyFill="1" applyBorder="1" applyAlignment="1">
      <alignment horizontal="center" vertical="top" wrapText="1"/>
    </xf>
    <xf numFmtId="0" fontId="10" fillId="8" borderId="1" xfId="0" applyFont="1" applyFill="1" applyBorder="1" applyAlignment="1">
      <alignment horizontal="center" vertical="top" wrapText="1"/>
    </xf>
    <xf numFmtId="0" fontId="10" fillId="12" borderId="1" xfId="0" applyFont="1" applyFill="1" applyBorder="1" applyAlignment="1">
      <alignment horizontal="center" vertical="top"/>
    </xf>
    <xf numFmtId="16" fontId="10" fillId="8" borderId="1" xfId="0" applyNumberFormat="1" applyFont="1" applyFill="1" applyBorder="1" applyAlignment="1">
      <alignment horizontal="center" vertical="top" wrapText="1"/>
    </xf>
    <xf numFmtId="0" fontId="12" fillId="0" borderId="1" xfId="0" applyFont="1" applyBorder="1" applyAlignment="1">
      <alignment horizontal="justify" vertical="center" wrapText="1"/>
    </xf>
    <xf numFmtId="0" fontId="12" fillId="0" borderId="1" xfId="0" applyFont="1" applyBorder="1" applyAlignment="1">
      <alignment horizontal="justify" vertical="center"/>
    </xf>
    <xf numFmtId="16" fontId="10" fillId="12" borderId="1" xfId="0" applyNumberFormat="1" applyFont="1" applyFill="1" applyBorder="1" applyAlignment="1">
      <alignment horizontal="center" vertical="top"/>
    </xf>
  </cellXfs>
  <cellStyles count="4">
    <cellStyle name="Excel Built-in Bad" xfId="1" xr:uid="{ABDF77A6-9685-4A44-B763-1662F9B3E3CC}"/>
    <cellStyle name="Excel Built-in Good" xfId="2" xr:uid="{60C61D10-E7F1-4ED4-BDF6-5D60491CBBEE}"/>
    <cellStyle name="Normal" xfId="0" builtinId="0"/>
    <cellStyle name="Normal 2" xfId="3" xr:uid="{FD54D83E-2C4C-46CE-A26B-16C568EB01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1015824</xdr:colOff>
      <xdr:row>0</xdr:row>
      <xdr:rowOff>107945</xdr:rowOff>
    </xdr:from>
    <xdr:to>
      <xdr:col>3</xdr:col>
      <xdr:colOff>5767508</xdr:colOff>
      <xdr:row>6</xdr:row>
      <xdr:rowOff>16817</xdr:rowOff>
    </xdr:to>
    <xdr:pic>
      <xdr:nvPicPr>
        <xdr:cNvPr id="2" name="Imagine 2">
          <a:extLst>
            <a:ext uri="{FF2B5EF4-FFF2-40B4-BE49-F238E27FC236}">
              <a16:creationId xmlns:a16="http://schemas.microsoft.com/office/drawing/2014/main" id="{A22E9840-E449-43C3-8BD5-07D40ECB315F}"/>
            </a:ext>
          </a:extLst>
        </xdr:cNvPr>
        <xdr:cNvPicPr/>
      </xdr:nvPicPr>
      <xdr:blipFill>
        <a:blip xmlns:r="http://schemas.openxmlformats.org/officeDocument/2006/relationships" r:embed="rId1"/>
        <a:stretch/>
      </xdr:blipFill>
      <xdr:spPr>
        <a:xfrm>
          <a:off x="1412064" y="107945"/>
          <a:ext cx="9609857" cy="938288"/>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3F41F-0F91-49B1-B33C-FC0F51681333}">
  <sheetPr>
    <pageSetUpPr fitToPage="1"/>
  </sheetPr>
  <dimension ref="A7:OR92"/>
  <sheetViews>
    <sheetView tabSelected="1" topLeftCell="A77" zoomScale="90" zoomScaleNormal="90" workbookViewId="0">
      <selection activeCell="E88" sqref="E88"/>
    </sheetView>
  </sheetViews>
  <sheetFormatPr defaultColWidth="9.109375" defaultRowHeight="13.8" x14ac:dyDescent="0.3"/>
  <cols>
    <col min="1" max="1" width="5.77734375" style="2" customWidth="1"/>
    <col min="2" max="2" width="64.109375" style="3" customWidth="1"/>
    <col min="3" max="3" width="6.77734375" style="5" customWidth="1"/>
    <col min="4" max="4" width="124.5546875" style="3" customWidth="1"/>
    <col min="5" max="5" width="55.109375" style="3" customWidth="1"/>
    <col min="6" max="16384" width="9.109375" style="3"/>
  </cols>
  <sheetData>
    <row r="7" spans="1:4" x14ac:dyDescent="0.3">
      <c r="B7" s="73" t="s">
        <v>51</v>
      </c>
      <c r="C7" s="73"/>
      <c r="D7" s="73"/>
    </row>
    <row r="8" spans="1:4" x14ac:dyDescent="0.3">
      <c r="B8" s="4" t="s">
        <v>0</v>
      </c>
    </row>
    <row r="9" spans="1:4" ht="27.6" x14ac:dyDescent="0.3">
      <c r="B9" s="4" t="s">
        <v>1</v>
      </c>
    </row>
    <row r="10" spans="1:4" ht="41.4" x14ac:dyDescent="0.3">
      <c r="B10" s="4" t="s">
        <v>2</v>
      </c>
    </row>
    <row r="11" spans="1:4" ht="27.6" x14ac:dyDescent="0.3">
      <c r="B11" s="4" t="s">
        <v>3</v>
      </c>
    </row>
    <row r="13" spans="1:4" x14ac:dyDescent="0.3">
      <c r="A13" s="6" t="s">
        <v>4</v>
      </c>
      <c r="B13" s="7"/>
      <c r="C13" s="8"/>
      <c r="D13" s="7"/>
    </row>
    <row r="14" spans="1:4" x14ac:dyDescent="0.3">
      <c r="A14" s="9">
        <v>1</v>
      </c>
      <c r="B14" s="10" t="s">
        <v>5</v>
      </c>
      <c r="C14" s="11">
        <f>C15+C19+C25+C30+C35</f>
        <v>40</v>
      </c>
      <c r="D14" s="12" t="s">
        <v>46</v>
      </c>
    </row>
    <row r="15" spans="1:4" ht="138" x14ac:dyDescent="0.3">
      <c r="A15" s="74" t="s">
        <v>6</v>
      </c>
      <c r="B15" s="13" t="s">
        <v>7</v>
      </c>
      <c r="C15" s="14">
        <f>MAX(C16:C17)</f>
        <v>5</v>
      </c>
      <c r="D15" s="1" t="s">
        <v>65</v>
      </c>
    </row>
    <row r="16" spans="1:4" ht="27.6" x14ac:dyDescent="0.3">
      <c r="A16" s="74"/>
      <c r="B16" s="15" t="s">
        <v>63</v>
      </c>
      <c r="C16" s="16">
        <v>5</v>
      </c>
      <c r="D16" s="17" t="s">
        <v>91</v>
      </c>
    </row>
    <row r="17" spans="1:4" ht="27.6" x14ac:dyDescent="0.3">
      <c r="A17" s="74"/>
      <c r="B17" s="18" t="s">
        <v>64</v>
      </c>
      <c r="C17" s="16">
        <v>0</v>
      </c>
      <c r="D17" s="17" t="s">
        <v>92</v>
      </c>
    </row>
    <row r="18" spans="1:4" ht="41.4" x14ac:dyDescent="0.3">
      <c r="A18" s="74"/>
      <c r="B18" s="1" t="s">
        <v>25</v>
      </c>
      <c r="C18" s="16"/>
      <c r="D18" s="17"/>
    </row>
    <row r="19" spans="1:4" ht="408.6" customHeight="1" x14ac:dyDescent="0.3">
      <c r="A19" s="74" t="s">
        <v>8</v>
      </c>
      <c r="B19" s="13" t="s">
        <v>47</v>
      </c>
      <c r="C19" s="14">
        <f>MAX(C20:C23)</f>
        <v>15</v>
      </c>
      <c r="D19" s="1" t="s">
        <v>134</v>
      </c>
    </row>
    <row r="20" spans="1:4" ht="55.2" x14ac:dyDescent="0.3">
      <c r="A20" s="74"/>
      <c r="B20" s="19" t="s">
        <v>48</v>
      </c>
      <c r="C20" s="20">
        <v>15</v>
      </c>
      <c r="D20" s="17" t="s">
        <v>93</v>
      </c>
    </row>
    <row r="21" spans="1:4" ht="57.6" customHeight="1" x14ac:dyDescent="0.3">
      <c r="A21" s="74"/>
      <c r="B21" s="19" t="s">
        <v>60</v>
      </c>
      <c r="C21" s="20">
        <v>10</v>
      </c>
      <c r="D21" s="17" t="s">
        <v>94</v>
      </c>
    </row>
    <row r="22" spans="1:4" ht="53.4" customHeight="1" x14ac:dyDescent="0.3">
      <c r="A22" s="74"/>
      <c r="B22" s="19" t="s">
        <v>61</v>
      </c>
      <c r="C22" s="20">
        <v>5</v>
      </c>
      <c r="D22" s="17" t="s">
        <v>95</v>
      </c>
    </row>
    <row r="23" spans="1:4" ht="27.6" x14ac:dyDescent="0.3">
      <c r="A23" s="74"/>
      <c r="B23" s="19" t="s">
        <v>49</v>
      </c>
      <c r="C23" s="21">
        <v>0</v>
      </c>
      <c r="D23" s="17" t="s">
        <v>96</v>
      </c>
    </row>
    <row r="24" spans="1:4" ht="41.4" x14ac:dyDescent="0.3">
      <c r="A24" s="74"/>
      <c r="B24" s="22" t="s">
        <v>25</v>
      </c>
      <c r="C24" s="23"/>
      <c r="D24" s="17"/>
    </row>
    <row r="25" spans="1:4" ht="69" x14ac:dyDescent="0.3">
      <c r="A25" s="72" t="s">
        <v>9</v>
      </c>
      <c r="B25" s="24" t="s">
        <v>10</v>
      </c>
      <c r="C25" s="25">
        <f>MAX(C26:C28)</f>
        <v>5</v>
      </c>
      <c r="D25" s="1" t="s">
        <v>97</v>
      </c>
    </row>
    <row r="26" spans="1:4" ht="27.6" x14ac:dyDescent="0.3">
      <c r="A26" s="72"/>
      <c r="B26" s="15" t="s">
        <v>11</v>
      </c>
      <c r="C26" s="26">
        <v>5</v>
      </c>
      <c r="D26" s="17" t="s">
        <v>98</v>
      </c>
    </row>
    <row r="27" spans="1:4" ht="41.4" x14ac:dyDescent="0.3">
      <c r="A27" s="72"/>
      <c r="B27" s="18" t="s">
        <v>34</v>
      </c>
      <c r="C27" s="26">
        <v>2</v>
      </c>
      <c r="D27" s="17" t="s">
        <v>99</v>
      </c>
    </row>
    <row r="28" spans="1:4" ht="41.4" x14ac:dyDescent="0.3">
      <c r="A28" s="72"/>
      <c r="B28" s="27" t="s">
        <v>55</v>
      </c>
      <c r="C28" s="26">
        <v>0</v>
      </c>
      <c r="D28" s="17" t="s">
        <v>100</v>
      </c>
    </row>
    <row r="29" spans="1:4" ht="41.4" x14ac:dyDescent="0.3">
      <c r="A29" s="72"/>
      <c r="B29" s="22" t="s">
        <v>25</v>
      </c>
      <c r="C29" s="28"/>
      <c r="D29" s="17"/>
    </row>
    <row r="30" spans="1:4" ht="303.60000000000002" x14ac:dyDescent="0.3">
      <c r="A30" s="72" t="s">
        <v>12</v>
      </c>
      <c r="B30" s="24" t="s">
        <v>13</v>
      </c>
      <c r="C30" s="29">
        <f>MAX(C31:C33)</f>
        <v>10</v>
      </c>
      <c r="D30" s="30" t="s">
        <v>101</v>
      </c>
    </row>
    <row r="31" spans="1:4" ht="27.6" x14ac:dyDescent="0.3">
      <c r="A31" s="72"/>
      <c r="B31" s="31" t="s">
        <v>58</v>
      </c>
      <c r="C31" s="23">
        <v>10</v>
      </c>
      <c r="D31" s="17" t="s">
        <v>102</v>
      </c>
    </row>
    <row r="32" spans="1:4" ht="27.6" x14ac:dyDescent="0.3">
      <c r="A32" s="72"/>
      <c r="B32" s="19" t="s">
        <v>62</v>
      </c>
      <c r="C32" s="23">
        <v>5</v>
      </c>
      <c r="D32" s="17" t="s">
        <v>103</v>
      </c>
    </row>
    <row r="33" spans="1:408" ht="27.6" x14ac:dyDescent="0.3">
      <c r="A33" s="72"/>
      <c r="B33" s="19" t="s">
        <v>59</v>
      </c>
      <c r="C33" s="23">
        <v>0</v>
      </c>
      <c r="D33" s="17" t="s">
        <v>104</v>
      </c>
    </row>
    <row r="34" spans="1:408" ht="41.4" x14ac:dyDescent="0.3">
      <c r="A34" s="72"/>
      <c r="B34" s="22" t="s">
        <v>25</v>
      </c>
      <c r="C34" s="23"/>
      <c r="D34" s="17"/>
    </row>
    <row r="35" spans="1:408" s="33" customFormat="1" ht="124.2" x14ac:dyDescent="0.3">
      <c r="A35" s="72" t="s">
        <v>14</v>
      </c>
      <c r="B35" s="32" t="s">
        <v>66</v>
      </c>
      <c r="C35" s="71">
        <f>MAX(C36:C37)</f>
        <v>5</v>
      </c>
      <c r="D35" s="1" t="s">
        <v>105</v>
      </c>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row>
    <row r="36" spans="1:408" ht="55.2" x14ac:dyDescent="0.3">
      <c r="A36" s="72"/>
      <c r="B36" s="19" t="s">
        <v>53</v>
      </c>
      <c r="C36" s="23">
        <v>5</v>
      </c>
      <c r="D36" s="17" t="s">
        <v>106</v>
      </c>
    </row>
    <row r="37" spans="1:408" ht="27.6" x14ac:dyDescent="0.3">
      <c r="A37" s="72"/>
      <c r="B37" s="17" t="s">
        <v>54</v>
      </c>
      <c r="C37" s="23">
        <v>0</v>
      </c>
      <c r="D37" s="17" t="s">
        <v>107</v>
      </c>
    </row>
    <row r="38" spans="1:408" ht="41.4" x14ac:dyDescent="0.3">
      <c r="A38" s="72"/>
      <c r="B38" s="22" t="s">
        <v>25</v>
      </c>
      <c r="C38" s="23"/>
      <c r="D38" s="19"/>
    </row>
    <row r="39" spans="1:408" x14ac:dyDescent="0.3">
      <c r="A39" s="9">
        <v>2</v>
      </c>
      <c r="B39" s="34" t="s">
        <v>41</v>
      </c>
      <c r="C39" s="35">
        <f>C40+C47+C52</f>
        <v>37</v>
      </c>
      <c r="D39" s="36"/>
    </row>
    <row r="40" spans="1:408" x14ac:dyDescent="0.3">
      <c r="A40" s="77" t="s">
        <v>15</v>
      </c>
      <c r="B40" s="24" t="s">
        <v>16</v>
      </c>
      <c r="C40" s="37">
        <f>SUM(C41:C45)</f>
        <v>15</v>
      </c>
      <c r="D40" s="78" t="s">
        <v>108</v>
      </c>
    </row>
    <row r="41" spans="1:408" ht="27.6" x14ac:dyDescent="0.3">
      <c r="A41" s="77"/>
      <c r="B41" s="38" t="s">
        <v>67</v>
      </c>
      <c r="C41" s="39">
        <v>2</v>
      </c>
      <c r="D41" s="79"/>
    </row>
    <row r="42" spans="1:408" ht="41.4" x14ac:dyDescent="0.3">
      <c r="A42" s="77"/>
      <c r="B42" s="38" t="s">
        <v>17</v>
      </c>
      <c r="C42" s="39">
        <v>2</v>
      </c>
      <c r="D42" s="79"/>
    </row>
    <row r="43" spans="1:408" ht="55.2" x14ac:dyDescent="0.3">
      <c r="A43" s="77"/>
      <c r="B43" s="38" t="s">
        <v>56</v>
      </c>
      <c r="C43" s="39">
        <v>2</v>
      </c>
      <c r="D43" s="79"/>
    </row>
    <row r="44" spans="1:408" ht="69" x14ac:dyDescent="0.3">
      <c r="A44" s="77"/>
      <c r="B44" s="40" t="s">
        <v>130</v>
      </c>
      <c r="C44" s="39">
        <v>5</v>
      </c>
      <c r="D44" s="79"/>
    </row>
    <row r="45" spans="1:408" ht="41.4" x14ac:dyDescent="0.3">
      <c r="A45" s="77"/>
      <c r="B45" s="38" t="s">
        <v>52</v>
      </c>
      <c r="C45" s="39">
        <v>4</v>
      </c>
      <c r="D45" s="79"/>
    </row>
    <row r="46" spans="1:408" ht="55.2" x14ac:dyDescent="0.3">
      <c r="A46" s="77"/>
      <c r="B46" s="1" t="s">
        <v>71</v>
      </c>
      <c r="C46" s="39"/>
      <c r="D46" s="79"/>
    </row>
    <row r="47" spans="1:408" ht="96.6" x14ac:dyDescent="0.3">
      <c r="A47" s="80" t="s">
        <v>18</v>
      </c>
      <c r="B47" s="41" t="s">
        <v>19</v>
      </c>
      <c r="C47" s="42">
        <f>SUM(C48:C50)</f>
        <v>7</v>
      </c>
      <c r="D47" s="1" t="s">
        <v>68</v>
      </c>
    </row>
    <row r="48" spans="1:408" ht="96.6" x14ac:dyDescent="0.3">
      <c r="A48" s="80"/>
      <c r="B48" s="15" t="s">
        <v>86</v>
      </c>
      <c r="C48" s="39">
        <v>2</v>
      </c>
      <c r="D48" s="43" t="s">
        <v>109</v>
      </c>
    </row>
    <row r="49" spans="1:4" ht="220.8" x14ac:dyDescent="0.3">
      <c r="A49" s="80"/>
      <c r="B49" s="15" t="s">
        <v>110</v>
      </c>
      <c r="C49" s="39">
        <v>3</v>
      </c>
      <c r="D49" s="43" t="s">
        <v>111</v>
      </c>
    </row>
    <row r="50" spans="1:4" ht="111" customHeight="1" x14ac:dyDescent="0.3">
      <c r="A50" s="80"/>
      <c r="B50" s="44" t="s">
        <v>69</v>
      </c>
      <c r="C50" s="45">
        <v>2</v>
      </c>
      <c r="D50" s="43" t="s">
        <v>112</v>
      </c>
    </row>
    <row r="51" spans="1:4" ht="27.6" x14ac:dyDescent="0.3">
      <c r="A51" s="80"/>
      <c r="B51" s="46" t="s">
        <v>43</v>
      </c>
      <c r="C51" s="39"/>
      <c r="D51" s="17"/>
    </row>
    <row r="52" spans="1:4" ht="110.4" x14ac:dyDescent="0.3">
      <c r="A52" s="76" t="s">
        <v>21</v>
      </c>
      <c r="B52" s="24" t="s">
        <v>20</v>
      </c>
      <c r="C52" s="37">
        <f>SUM(C53:C58)</f>
        <v>15</v>
      </c>
      <c r="D52" s="47" t="s">
        <v>72</v>
      </c>
    </row>
    <row r="53" spans="1:4" ht="173.4" customHeight="1" x14ac:dyDescent="0.3">
      <c r="A53" s="76"/>
      <c r="B53" s="15" t="s">
        <v>70</v>
      </c>
      <c r="C53" s="39">
        <v>3</v>
      </c>
      <c r="D53" s="48" t="s">
        <v>113</v>
      </c>
    </row>
    <row r="54" spans="1:4" ht="96.6" x14ac:dyDescent="0.3">
      <c r="A54" s="76"/>
      <c r="B54" s="15" t="s">
        <v>88</v>
      </c>
      <c r="C54" s="39">
        <v>2</v>
      </c>
      <c r="D54" s="48" t="s">
        <v>114</v>
      </c>
    </row>
    <row r="55" spans="1:4" ht="82.8" x14ac:dyDescent="0.3">
      <c r="A55" s="76"/>
      <c r="B55" s="17" t="s">
        <v>22</v>
      </c>
      <c r="C55" s="39">
        <v>3</v>
      </c>
      <c r="D55" s="48" t="s">
        <v>115</v>
      </c>
    </row>
    <row r="56" spans="1:4" ht="110.4" x14ac:dyDescent="0.3">
      <c r="A56" s="76"/>
      <c r="B56" s="17" t="s">
        <v>89</v>
      </c>
      <c r="C56" s="39">
        <v>3</v>
      </c>
      <c r="D56" s="48" t="s">
        <v>116</v>
      </c>
    </row>
    <row r="57" spans="1:4" ht="124.2" x14ac:dyDescent="0.3">
      <c r="A57" s="76"/>
      <c r="B57" s="17" t="s">
        <v>23</v>
      </c>
      <c r="C57" s="39">
        <v>2</v>
      </c>
      <c r="D57" s="48" t="s">
        <v>117</v>
      </c>
    </row>
    <row r="58" spans="1:4" ht="141" customHeight="1" x14ac:dyDescent="0.3">
      <c r="A58" s="76"/>
      <c r="B58" s="17" t="s">
        <v>24</v>
      </c>
      <c r="C58" s="39">
        <v>2</v>
      </c>
      <c r="D58" s="48" t="s">
        <v>118</v>
      </c>
    </row>
    <row r="59" spans="1:4" ht="55.2" x14ac:dyDescent="0.3">
      <c r="A59" s="76"/>
      <c r="B59" s="1" t="s">
        <v>71</v>
      </c>
      <c r="C59" s="39"/>
      <c r="D59" s="49"/>
    </row>
    <row r="60" spans="1:4" x14ac:dyDescent="0.3">
      <c r="A60" s="50">
        <v>3</v>
      </c>
      <c r="B60" s="51" t="s">
        <v>39</v>
      </c>
      <c r="C60" s="52">
        <f>C61+C66</f>
        <v>9</v>
      </c>
      <c r="D60" s="49"/>
    </row>
    <row r="61" spans="1:4" ht="110.4" x14ac:dyDescent="0.3">
      <c r="A61" s="75" t="s">
        <v>27</v>
      </c>
      <c r="B61" s="24" t="s">
        <v>40</v>
      </c>
      <c r="C61" s="53">
        <f>MAX(C62:C64)</f>
        <v>5</v>
      </c>
      <c r="D61" s="1" t="s">
        <v>73</v>
      </c>
    </row>
    <row r="62" spans="1:4" ht="82.8" x14ac:dyDescent="0.3">
      <c r="A62" s="75"/>
      <c r="B62" s="54" t="s">
        <v>74</v>
      </c>
      <c r="C62" s="39">
        <v>5</v>
      </c>
      <c r="D62" s="55" t="s">
        <v>119</v>
      </c>
    </row>
    <row r="63" spans="1:4" ht="41.4" x14ac:dyDescent="0.3">
      <c r="A63" s="75"/>
      <c r="B63" s="54" t="s">
        <v>75</v>
      </c>
      <c r="C63" s="39">
        <v>3</v>
      </c>
      <c r="D63" s="55" t="s">
        <v>120</v>
      </c>
    </row>
    <row r="64" spans="1:4" ht="41.4" x14ac:dyDescent="0.3">
      <c r="A64" s="75"/>
      <c r="B64" s="54" t="s">
        <v>76</v>
      </c>
      <c r="C64" s="39">
        <v>0</v>
      </c>
      <c r="D64" s="17" t="s">
        <v>121</v>
      </c>
    </row>
    <row r="65" spans="1:32" ht="41.4" x14ac:dyDescent="0.3">
      <c r="A65" s="75"/>
      <c r="B65" s="22" t="s">
        <v>25</v>
      </c>
      <c r="C65" s="39"/>
      <c r="D65" s="55"/>
    </row>
    <row r="66" spans="1:32" ht="179.4" x14ac:dyDescent="0.3">
      <c r="A66" s="77" t="s">
        <v>28</v>
      </c>
      <c r="B66" s="56" t="s">
        <v>42</v>
      </c>
      <c r="C66" s="57">
        <f>SUM(C67:C68)</f>
        <v>4</v>
      </c>
      <c r="D66" s="1" t="s">
        <v>122</v>
      </c>
    </row>
    <row r="67" spans="1:32" ht="167.4" customHeight="1" x14ac:dyDescent="0.3">
      <c r="A67" s="75"/>
      <c r="B67" s="43" t="s">
        <v>57</v>
      </c>
      <c r="C67" s="45">
        <v>2</v>
      </c>
      <c r="D67" s="58" t="s">
        <v>77</v>
      </c>
    </row>
    <row r="68" spans="1:32" ht="107.4" customHeight="1" x14ac:dyDescent="0.3">
      <c r="A68" s="75"/>
      <c r="B68" s="43" t="s">
        <v>123</v>
      </c>
      <c r="C68" s="45">
        <v>2</v>
      </c>
      <c r="D68" s="58" t="s">
        <v>50</v>
      </c>
    </row>
    <row r="69" spans="1:32" ht="27.6" x14ac:dyDescent="0.3">
      <c r="A69" s="75"/>
      <c r="B69" s="22" t="s">
        <v>44</v>
      </c>
      <c r="C69" s="39"/>
      <c r="D69" s="55"/>
    </row>
    <row r="70" spans="1:32" x14ac:dyDescent="0.3">
      <c r="A70" s="9">
        <v>4</v>
      </c>
      <c r="B70" s="10" t="s">
        <v>26</v>
      </c>
      <c r="C70" s="35">
        <f>C71+C76+C81</f>
        <v>14</v>
      </c>
      <c r="D70" s="55"/>
    </row>
    <row r="71" spans="1:32" ht="151.80000000000001" x14ac:dyDescent="0.3">
      <c r="A71" s="75" t="s">
        <v>36</v>
      </c>
      <c r="B71" s="13" t="s">
        <v>78</v>
      </c>
      <c r="C71" s="42">
        <f>MAX(C72:C74)</f>
        <v>5</v>
      </c>
      <c r="D71" s="1" t="s">
        <v>82</v>
      </c>
    </row>
    <row r="72" spans="1:32" ht="55.2" x14ac:dyDescent="0.3">
      <c r="A72" s="75"/>
      <c r="B72" s="55" t="s">
        <v>80</v>
      </c>
      <c r="C72" s="59">
        <v>5</v>
      </c>
      <c r="D72" s="60" t="s">
        <v>124</v>
      </c>
    </row>
    <row r="73" spans="1:32" ht="69" x14ac:dyDescent="0.3">
      <c r="A73" s="75"/>
      <c r="B73" s="55" t="s">
        <v>81</v>
      </c>
      <c r="C73" s="59">
        <v>2.5</v>
      </c>
      <c r="D73" s="58" t="s">
        <v>125</v>
      </c>
    </row>
    <row r="74" spans="1:32" ht="55.2" x14ac:dyDescent="0.3">
      <c r="A74" s="75"/>
      <c r="B74" s="55" t="s">
        <v>79</v>
      </c>
      <c r="C74" s="59">
        <v>0</v>
      </c>
      <c r="D74" s="43" t="s">
        <v>126</v>
      </c>
    </row>
    <row r="75" spans="1:32" ht="41.4" x14ac:dyDescent="0.3">
      <c r="A75" s="75"/>
      <c r="B75" s="1" t="s">
        <v>25</v>
      </c>
      <c r="C75" s="59"/>
      <c r="D75" s="55"/>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row>
    <row r="76" spans="1:32" ht="165.6" x14ac:dyDescent="0.3">
      <c r="A76" s="76" t="s">
        <v>37</v>
      </c>
      <c r="B76" s="13" t="s">
        <v>83</v>
      </c>
      <c r="C76" s="42">
        <f>MAX(C77:C79)</f>
        <v>4</v>
      </c>
      <c r="D76" s="30" t="s">
        <v>127</v>
      </c>
    </row>
    <row r="77" spans="1:32" ht="27.6" x14ac:dyDescent="0.3">
      <c r="A77" s="76"/>
      <c r="B77" s="17" t="s">
        <v>84</v>
      </c>
      <c r="C77" s="45">
        <v>4</v>
      </c>
      <c r="D77" s="31" t="s">
        <v>131</v>
      </c>
    </row>
    <row r="78" spans="1:32" x14ac:dyDescent="0.3">
      <c r="A78" s="76"/>
      <c r="B78" s="17" t="s">
        <v>29</v>
      </c>
      <c r="C78" s="39">
        <v>2</v>
      </c>
      <c r="D78" s="31" t="s">
        <v>132</v>
      </c>
    </row>
    <row r="79" spans="1:32" x14ac:dyDescent="0.3">
      <c r="A79" s="76"/>
      <c r="B79" s="17" t="s">
        <v>30</v>
      </c>
      <c r="C79" s="39">
        <v>0</v>
      </c>
    </row>
    <row r="80" spans="1:32" ht="41.4" x14ac:dyDescent="0.3">
      <c r="A80" s="76"/>
      <c r="B80" s="1" t="s">
        <v>25</v>
      </c>
      <c r="C80" s="39"/>
      <c r="D80" s="31" t="s">
        <v>128</v>
      </c>
    </row>
    <row r="81" spans="1:4" ht="124.2" x14ac:dyDescent="0.3">
      <c r="A81" s="75" t="s">
        <v>38</v>
      </c>
      <c r="B81" s="13" t="s">
        <v>31</v>
      </c>
      <c r="C81" s="42">
        <f>SUM(C82:C83)</f>
        <v>5</v>
      </c>
      <c r="D81" s="30" t="s">
        <v>90</v>
      </c>
    </row>
    <row r="82" spans="1:4" ht="55.2" x14ac:dyDescent="0.3">
      <c r="A82" s="75"/>
      <c r="B82" s="62" t="s">
        <v>85</v>
      </c>
      <c r="C82" s="63">
        <v>3</v>
      </c>
      <c r="D82" s="43" t="s">
        <v>133</v>
      </c>
    </row>
    <row r="83" spans="1:4" ht="82.8" customHeight="1" x14ac:dyDescent="0.3">
      <c r="A83" s="75"/>
      <c r="B83" s="62" t="s">
        <v>87</v>
      </c>
      <c r="C83" s="63">
        <v>2</v>
      </c>
      <c r="D83" s="43" t="s">
        <v>129</v>
      </c>
    </row>
    <row r="84" spans="1:4" ht="27.6" x14ac:dyDescent="0.3">
      <c r="A84" s="75"/>
      <c r="B84" s="22" t="s">
        <v>45</v>
      </c>
      <c r="C84" s="39"/>
      <c r="D84" s="58"/>
    </row>
    <row r="85" spans="1:4" x14ac:dyDescent="0.3">
      <c r="A85" s="64"/>
      <c r="B85" s="65" t="s">
        <v>32</v>
      </c>
      <c r="C85" s="66">
        <f>C70+C60+C39+C14</f>
        <v>100</v>
      </c>
      <c r="D85" s="67"/>
    </row>
    <row r="86" spans="1:4" x14ac:dyDescent="0.3">
      <c r="B86" s="68"/>
    </row>
    <row r="87" spans="1:4" x14ac:dyDescent="0.3">
      <c r="B87" s="69" t="s">
        <v>33</v>
      </c>
    </row>
    <row r="88" spans="1:4" x14ac:dyDescent="0.3">
      <c r="B88" s="69" t="s">
        <v>35</v>
      </c>
    </row>
    <row r="92" spans="1:4" x14ac:dyDescent="0.3">
      <c r="B92" s="70"/>
    </row>
  </sheetData>
  <mergeCells count="15">
    <mergeCell ref="A71:A75"/>
    <mergeCell ref="A76:A80"/>
    <mergeCell ref="A81:A84"/>
    <mergeCell ref="A40:A46"/>
    <mergeCell ref="D40:D46"/>
    <mergeCell ref="A47:A51"/>
    <mergeCell ref="A52:A59"/>
    <mergeCell ref="A61:A65"/>
    <mergeCell ref="A66:A69"/>
    <mergeCell ref="A35:A38"/>
    <mergeCell ref="B7:D7"/>
    <mergeCell ref="A15:A18"/>
    <mergeCell ref="A19:A24"/>
    <mergeCell ref="A25:A29"/>
    <mergeCell ref="A30:A34"/>
  </mergeCells>
  <pageMargins left="0.70866141732283472" right="0.70866141732283472" top="0.74803149606299213" bottom="0.74803149606299213" header="0.51181102362204722" footer="0.51181102362204722"/>
  <pageSetup paperSize="9" scale="66" fitToHeight="15"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Grila ETF 1.1 PoC</vt:lpstr>
      <vt:lpstr>'Grila ETF 1.1 PoC'!Print_Area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Lavinia</dc:creator>
  <cp:lastModifiedBy>ANDREEA - MARILENA TRANCA</cp:lastModifiedBy>
  <cp:lastPrinted>2026-06-04T05:59:37Z</cp:lastPrinted>
  <dcterms:created xsi:type="dcterms:W3CDTF">2026-04-28T06:05:34Z</dcterms:created>
  <dcterms:modified xsi:type="dcterms:W3CDTF">2026-06-04T05:59:47Z</dcterms:modified>
</cp:coreProperties>
</file>