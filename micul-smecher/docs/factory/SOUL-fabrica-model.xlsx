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itește-mă" sheetId="1" state="visible" r:id="rId3"/>
    <sheet name="Rezultate" sheetId="2" state="visible" r:id="rId4"/>
    <sheet name="Ipoteze" sheetId="3" state="visible" r:id="rId5"/>
    <sheet name="Scenarii" sheetId="4" state="visible" r:id="rId6"/>
    <sheet name="Break-even" sheetId="5" state="visible" r:id="rId7"/>
    <sheet name="Capacit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<sst xmlns="http://schemas.openxmlformats.org/spreadsheetml/2006/main" count="1266" uniqueCount="899">
  <si>
    <t xml:space="preserve">SOUL — model de cost și break-even: fabrică mică vs lanț de producție</t>
  </si>
  <si>
    <t xml:space="preserve">ARTEMIS DIGITAL S.R.L. · model construit 15.10.2026, refăcut pe 22.10.2026 pe mărimea de bază S (AMOLED 1,75″ 466×466, 63×70,8×23 mm, LiPo 750 mAh; docs/size-s.json, docs/12-SIZE-S.md §3) · M (prototipul 2.8C) e comparația din Break-even</t>
  </si>
  <si>
    <t xml:space="preserve">Întrebarea: „ce ar însemna să facem efectiv o fabrică? mică, pentru asta, sau un lanț de producție măcar”</t>
  </si>
  <si>
    <t xml:space="preserve">Scenarii</t>
  </si>
  <si>
    <t xml:space="preserve">A — Lanț de producție, totul externalizat: EMS (Felix EMS / EMS-Electra) face PCBA + asamblare + flash + test; CNC + anodizare + sticlă la parteneri; noi facem QC final și ambalare.</t>
  </si>
  <si>
    <t xml:space="preserve">B — Atelier T0 propriu: PCBA și carcasa le cumpărăm; asamblarea, flash-ul, calibrarea, testul funcțional, QC, marcarea laser și ambalarea le facem noi.</t>
  </si>
  <si>
    <t xml:space="preserve">C — T1: B + celulă CNC proprie (Haas VF-2, sablare, ultrasunete). Anodizarea rămâne externă (Anorom / Alvi / ARSAT).</t>
  </si>
  <si>
    <t xml:space="preserve">D — T2: C + linie SMT proprie (NeoDen FP2636 + NeoDen4 + IN6 + AOI).</t>
  </si>
  <si>
    <t xml:space="preserve">Volume: 100 / 1.000 / 5.000 / 20.000 unități pe an.</t>
  </si>
  <si>
    <t xml:space="preserve">Foi</t>
  </si>
  <si>
    <t xml:space="preserve">Rezultate — tabelul-cheie: cost/unitate pe scenariu × volum, capex, costuri fixe, marjă, break-even CNC și SMT, capex pe treaptă.</t>
  </si>
  <si>
    <t xml:space="preserve">Ipoteze — TOATE intrările (albastru = editabil, galben = pârghie-cheie), cu sursă + URL + dată sau [estimare] cu raționament.</t>
  </si>
  <si>
    <t xml:space="preserve">Scenarii — calculul complet: BOM, procese, capacitate și personal, apoi capex / fix / variabil / total pentru A, B, C, D.</t>
  </si>
  <si>
    <t xml:space="preserve">Break-even — make vs buy pentru CNC (S și M, comparație) și SMT (vs EMS România și vs JLCPCB): analitic pe trepte + grilă cu trepte reale de capacitate.</t>
  </si>
  <si>
    <t xml:space="preserve">Capacitate — unități/schimb pe stație, stații necesare pe volum, gâtuirea (bottleneck) și personalul.</t>
  </si>
  <si>
    <t xml:space="preserve">Cum se folosește</t>
  </si>
  <si>
    <t xml:space="preserve">1. Schimbi doar celulele albastre din Ipoteze. Exemplu: când vine oferta de la Felix EMS pentru box build, pui prețul în rândul bb_eur pe volumul respectiv.</t>
  </si>
  <si>
    <t xml:space="preserve">2. Selectorul pcba_sel (1 = JLCPCB, 2 = EMS RO) schimbă reperul de PCBA în A, B și C. el_route alege placa Waveshare (2) sau PCB-ul propriu (1) pe fiecare volum.</t>
  </si>
  <si>
    <t xml:space="preserve">3. Pentru un CNC second-hand, schimbă cnc_list_usd (ex. VF-2SSYT 2012: €32.500 ≈ $37.360) și cnc_extra_pct.</t>
  </si>
  <si>
    <t xml:space="preserve">Convenții</t>
  </si>
  <si>
    <t xml:space="preserve">• EUR fără TVA. Sub plafonul de scutire ARTEMIS nu recuperează TVA, așa că modelul adaugă 21 % la achiziții automat (la 100 buc./an).</t>
  </si>
  <si>
    <t xml:space="preserve">• Costul total/unitate = variabil + (chirie + salarii + amortizare + permise/asigurări) / volum. NRE-ul produsului (PCB, sticlă, matrițe OU) e separat și comun tuturor scenariilor.</t>
  </si>
  <si>
    <t xml:space="preserve">• Nu sunt incluse: certificarea CE/RED (per produs, 04-COMPLIANCE.md), marketing, fulfilment către clienți (3PL), timpul fondatorului în afara manoperei directe, costul capitalului.</t>
  </si>
  <si>
    <t xml:space="preserve">• [estimare] = cifră fără ofertă; NU folosi modelul ca ofertă. Pașii următori: RFQ cu STEP/Gerber/BOM la Felix EMS, EMS-Electra, ICCO, ARSAT, Alvi, JLCCNC, Anorom, Felix Glass, Mirit, Web2Print.</t>
  </si>
  <si>
    <t xml:space="preserve">• Simplificări: prețul extern între trepte e interpolat logaritmic; la ≥10k carcasa ar trece pe ambutisare 5052 (nemodelat, ar face CNC-ul propriu și mai puțin atractiv).</t>
  </si>
  <si>
    <t xml:space="preserve">REZULTATE: fabrică SOUL vs lanț de producție (mărimea S, EUR fără TVA)</t>
  </si>
  <si>
    <t xml:space="preserve">Totul se calculează din foaia Ipoteze. Multe intrări sunt [estimare] până vin ofertele (RFQ): EMS RO, CNC, anodizare, sticlă, PCB custom. Fabrica (B–D) nu schimbă CE/RED, care e per produs (04-COMPLIANCE.md).</t>
  </si>
  <si>
    <t xml:space="preserve">1. Cost total / unitate (fără NRE produs)</t>
  </si>
  <si>
    <t xml:space="preserve">A</t>
  </si>
  <si>
    <t xml:space="preserve">A — totul externalizat</t>
  </si>
  <si>
    <t xml:space="preserve">B</t>
  </si>
  <si>
    <t xml:space="preserve">B — atelier T0 (asamblare + test)</t>
  </si>
  <si>
    <t xml:space="preserve">C</t>
  </si>
  <si>
    <t xml:space="preserve">C — T0 + CNC propriu</t>
  </si>
  <si>
    <t xml:space="preserve">D</t>
  </si>
  <si>
    <t xml:space="preserve">D — T0 + CNC + SMT propriu</t>
  </si>
  <si>
    <t xml:space="preserve">Cel mai ieftin scenariu</t>
  </si>
  <si>
    <t xml:space="preserve">2. Cost total / unitate cu NRE produs (PCB, sticlă, matrițe OU pe 3 ani)</t>
  </si>
  <si>
    <t xml:space="preserve">3. Cost variabil / unitate</t>
  </si>
  <si>
    <t xml:space="preserve">4. Capex (investiție inițială)</t>
  </si>
  <si>
    <t xml:space="preserve">5. Costuri fixe anuale (chirie, salarii, amortizare, permise/asigurări)</t>
  </si>
  <si>
    <t xml:space="preserve">6. Marjă brută / unitate la prețul de €249 (cu NRE)</t>
  </si>
  <si>
    <t xml:space="preserve">7. Break-even: de la ce volum producția proprie bate externalizarea</t>
  </si>
  <si>
    <t xml:space="preserve">Grilă</t>
  </si>
  <si>
    <t xml:space="preserve">Analitic @1.000</t>
  </si>
  <si>
    <t xml:space="preserve">Analitic @5.000</t>
  </si>
  <si>
    <t xml:space="preserve">Analitic @20.000</t>
  </si>
  <si>
    <t xml:space="preserve">CNC mărimea S (seturi/an)</t>
  </si>
  <si>
    <t xml:space="preserve">CNC mărimea M, comparație (seturi/an)</t>
  </si>
  <si>
    <t xml:space="preserve">SMT propriu vs EMS România (plăci/an)</t>
  </si>
  <si>
    <t xml:space="preserve">SMT propriu vs JLCPCB (plăci/an)</t>
  </si>
  <si>
    <t xml:space="preserve">Atelier T0 (B) vs box build la EMS (A), unități/an</t>
  </si>
  <si>
    <t xml:space="preserve">–</t>
  </si>
  <si>
    <t xml:space="preserve">Grilă = primul volum (cu trepte reale: al 2-lea schimb, încă o mașină) la care propriul e mai ieftin. Analitic = cost fix pentru 1 mașină/linie pe 1 schimb împărțit la economia per bucată la prețurile treptei respective.</t>
  </si>
  <si>
    <t xml:space="preserve">8. Capex pe treaptă (net de TVA)</t>
  </si>
  <si>
    <t xml:space="preserve">Capex €</t>
  </si>
  <si>
    <t xml:space="preserve">Capacitate / schimb</t>
  </si>
  <si>
    <t xml:space="preserve">T0 atelier (configurația pentru 1.000 buc./an)</t>
  </si>
  <si>
    <t xml:space="preserve">unități/operator/schimb (gâtuire: oamenii)</t>
  </si>
  <si>
    <t xml:space="preserve">T0 atelier (configurația pentru 20.000 buc./an)</t>
  </si>
  <si>
    <t xml:space="preserve">T1: + 1 mașină CNC Haas VF-2 + scule + echipamente comune</t>
  </si>
  <si>
    <t xml:space="preserve">seturi S / schimb</t>
  </si>
  <si>
    <t xml:space="preserve">T1: fiecare mașină CNC în plus (cu scule)</t>
  </si>
  <si>
    <t xml:space="preserve">T2: + 1 linie SMT (NeoDen4 + FP2636 + IN6 + AOI + MSL)</t>
  </si>
  <si>
    <t xml:space="preserve">plăci / schimb</t>
  </si>
  <si>
    <t xml:space="preserve">Celulă CNC la 20.000 seturi S (mașini × capex)</t>
  </si>
  <si>
    <t xml:space="preserve">mașini necesare</t>
  </si>
  <si>
    <t xml:space="preserve">9. Praguri de ofertă pentru RFQ: peste aceste prețuri externe, varianta proprie devine mai ieftină</t>
  </si>
  <si>
    <t xml:space="preserve">Box build EMS (€/buc.) — ipoteza curentă</t>
  </si>
  <si>
    <t xml:space="preserve">Box build EMS (€/buc.) — prag peste care atelierul T0 (B) e mai ieftin</t>
  </si>
  <si>
    <t xml:space="preserve">Carcasă S externă livrată (€/set) — ipoteza curentă</t>
  </si>
  <si>
    <t xml:space="preserve">Carcasă S externă livrată (€/set) — prag peste care CNC propriu (C vs B) e mai ieftin</t>
  </si>
  <si>
    <t xml:space="preserve">PCBA EMS (€/placă) — ipoteza curentă</t>
  </si>
  <si>
    <t xml:space="preserve">PCBA EMS (€/placă) — prag peste care SMT propriu (D vs C) e mai ieftin</t>
  </si>
  <si>
    <t xml:space="preserve">Dacă oferta reală e SUB prag, externalizarea rămâne mai ieftină la acel volum. Pragurile includ toate costurile fixe ale treptei (oameni, chirie, amortizare).</t>
  </si>
  <si>
    <t xml:space="preserve">10. Ce citim din model (se actualizează automat din ipoteze; verifică după RFQ)</t>
  </si>
  <si>
    <t xml:space="preserve">IPOTEZE: toate datele de intrare ale modelului (singurul loc unde se modifică cifre)</t>
  </si>
  <si>
    <t xml:space="preserve">Legendă: text albastru = intrare editabilă; fond galben = pârghie-cheie; negru = formulă. Coloanele C–F = valori pe volum (100 / 1.000 / 5.000 / 20.000 unit./an); un singur număr în C = valabil pentru toate volumele. Sumele sunt FĂRĂ TVA, cu excepția celor marcate „cu TVA”. Sursele au URL + dată; [estimare] = raționament propriu, de înlocuit cu oferte (RFQ).</t>
  </si>
  <si>
    <t xml:space="preserve">Cheie</t>
  </si>
  <si>
    <t xml:space="preserve">Parametru</t>
  </si>
  <si>
    <t xml:space="preserve">100 / valoare</t>
  </si>
  <si>
    <t xml:space="preserve">1.000</t>
  </si>
  <si>
    <t xml:space="preserve">5.000</t>
  </si>
  <si>
    <t xml:space="preserve">20.000</t>
  </si>
  <si>
    <t xml:space="preserve">Unitate</t>
  </si>
  <si>
    <t xml:space="preserve">Sursă / notă (data accesării)</t>
  </si>
  <si>
    <t xml:space="preserve">Încredere</t>
  </si>
  <si>
    <t xml:space="preserve">1. Generale</t>
  </si>
  <si>
    <t xml:space="preserve">fx_eur_lei</t>
  </si>
  <si>
    <t xml:space="preserve">Curs EUR → lei</t>
  </si>
  <si>
    <t xml:space="preserve">lei/€</t>
  </si>
  <si>
    <t xml:space="preserve">Vault: „Finanțare — oferte de preț pentru PoC 1.1” (curs folosit pentru estimare, 12.10.2026)</t>
  </si>
  <si>
    <t xml:space="preserve">vault</t>
  </si>
  <si>
    <t xml:space="preserve">fx_usd_eur</t>
  </si>
  <si>
    <t xml:space="preserve">Curs USD → EUR</t>
  </si>
  <si>
    <t xml:space="preserve">€/$</t>
  </si>
  <si>
    <t xml:space="preserve">Vault: idem (1 $ ≈ 0,87 €)</t>
  </si>
  <si>
    <t xml:space="preserve">vol</t>
  </si>
  <si>
    <t xml:space="preserve">Volum analizat</t>
  </si>
  <si>
    <t xml:space="preserve">unit./an</t>
  </si>
  <si>
    <t xml:space="preserve">Cererea fondatorului: pilot → sute → mii → zeci de mii pe an</t>
  </si>
  <si>
    <t xml:space="preserve">input</t>
  </si>
  <si>
    <t xml:space="preserve">price_retail</t>
  </si>
  <si>
    <t xml:space="preserve">Preț de vânzare (include TVA dacă firma e plătitoare)</t>
  </si>
  <si>
    <t xml:space="preserve">€</t>
  </si>
  <si>
    <t xml:space="preserve">Plan: preț de la €249 (Planul de bani Micul Șmecher)</t>
  </si>
  <si>
    <t xml:space="preserve">vat_rate</t>
  </si>
  <si>
    <t xml:space="preserve">Cotă TVA România</t>
  </si>
  <si>
    <t xml:space="preserve">%</t>
  </si>
  <si>
    <t xml:space="preserve">Vault BOM.csv P0-17: TVA import 21 %</t>
  </si>
  <si>
    <t xml:space="preserve">vat_threshold_lei</t>
  </si>
  <si>
    <t xml:space="preserve">Plafon de scutire TVA (cifra de afaceri anuală)</t>
  </si>
  <si>
    <t xml:space="preserve">lei</t>
  </si>
  <si>
    <t xml:space="preserve">[de verificat cu contabilul] 395.000 lei (art. 310 Cod fiscal, din 1.09.2025, după cunoștințele mele; nu am verificat în această rundă). Sub plafon ARTEMIS nu recuperează TVA → TVA = cost real pe achiziții (aplicat automat).</t>
  </si>
  <si>
    <t xml:space="preserve">[estimare]</t>
  </si>
  <si>
    <t xml:space="preserve">el_route</t>
  </si>
  <si>
    <t xml:space="preserve">Arhitectura electronică: 1 = PCB propriu (ESP32-S3-WROOM-1 + panou AMOLED 1,75″), 2 = placă Waveshare ESP32-S3-Touch-AMOLED-1.75</t>
  </si>
  <si>
    <t xml:space="preserve">cod</t>
  </si>
  <si>
    <t xml:space="preserve">02-MANUFACTURING §11: PCB custom de la ~1k buc. La 100 buc. NRE-ul PCB (~$15–30k) nu se justifică → placa Waveshare [estimare]. Atenție: cu placa Waveshare corpul e S-P0 (25,65 mm, 500 mAh; docs/12 §2.3), nu produsul de 23 mm</t>
  </si>
  <si>
    <t xml:space="preserve">pcba_sel</t>
  </si>
  <si>
    <t xml:space="preserve">Referință PCBA externalizat: 1 = JLCPCB (Asia), 2 = EMS România</t>
  </si>
  <si>
    <t xml:space="preserve">Lanțul recomandat în cercetare (15.10.2026): Felix EMS / EMS-Electra fac PCBA + box build + flash/test. JLCPCB = cel mai ieftin reper public.</t>
  </si>
  <si>
    <t xml:space="preserve">days</t>
  </si>
  <si>
    <t xml:space="preserve">Zile lucrătoare pe an</t>
  </si>
  <si>
    <t xml:space="preserve">zile</t>
  </si>
  <si>
    <t xml:space="preserve">Cercetare T1 (15.10.2026): 220 zile/an</t>
  </si>
  <si>
    <t xml:space="preserve">shift_h</t>
  </si>
  <si>
    <t xml:space="preserve">Ore pe schimb</t>
  </si>
  <si>
    <t xml:space="preserve">h</t>
  </si>
  <si>
    <t xml:space="preserve">Standard</t>
  </si>
  <si>
    <t xml:space="preserve">oee</t>
  </si>
  <si>
    <t xml:space="preserve">Eficiență (timp productiv din schimb)</t>
  </si>
  <si>
    <t xml:space="preserve">Cercetare T1: ~408 min productive / schimb (85 %)</t>
  </si>
  <si>
    <t xml:space="preserve">shift_min</t>
  </si>
  <si>
    <t xml:space="preserve">Minute productive pe schimb</t>
  </si>
  <si>
    <t xml:space="preserve">min</t>
  </si>
  <si>
    <t xml:space="preserve">Formulă</t>
  </si>
  <si>
    <t xml:space="preserve">calcul</t>
  </si>
  <si>
    <t xml:space="preserve">hours_fte</t>
  </si>
  <si>
    <t xml:space="preserve">Ore productive pe an per normă întreagă (FTE)</t>
  </si>
  <si>
    <t xml:space="preserve">max_shifts</t>
  </si>
  <si>
    <t xml:space="preserve">Număr maxim de schimburi pe utilaj</t>
  </si>
  <si>
    <t xml:space="preserve">schimburi</t>
  </si>
  <si>
    <t xml:space="preserve">Cercetare: T1 se justifică pe 2 schimburi; al 3-lea schimb nemodelat</t>
  </si>
  <si>
    <t xml:space="preserve">target_util</t>
  </si>
  <si>
    <t xml:space="preserve">Utilizare țintă a stațiilor (rezervă pentru opriri)</t>
  </si>
  <si>
    <t xml:space="preserve">batches</t>
  </si>
  <si>
    <t xml:space="preserve">Loturi de producție pe an</t>
  </si>
  <si>
    <t xml:space="preserve">loturi</t>
  </si>
  <si>
    <t xml:space="preserve">[estimare] 1 lot la pilot, apoi trimestrial → lunar</t>
  </si>
  <si>
    <t xml:space="preserve">colours</t>
  </si>
  <si>
    <t xml:space="preserve">Culori de anodizare active</t>
  </si>
  <si>
    <t xml:space="preserve">culori</t>
  </si>
  <si>
    <t xml:space="preserve">02-MANUFACTURING §3: Founders = argint + grafit; 5 culori ulterior</t>
  </si>
  <si>
    <t xml:space="preserve">thr_vol</t>
  </si>
  <si>
    <t xml:space="preserve">Volum de la care atelierul are laser, dulap Li-ion și raft de rodaj proprii</t>
  </si>
  <si>
    <t xml:space="preserve">[estimare] sub prag: marcare la furnizor/FabLab</t>
  </si>
  <si>
    <t xml:space="preserve">2. BOM per unitate, mărimea S (AMOLED 1,75″ 466×466, 63×70,8×23 mm; docs/size-s.json)</t>
  </si>
  <si>
    <t xml:space="preserve">display_usd</t>
  </si>
  <si>
    <t xml:space="preserve">Panou rotund AMOLED 1,75" 466×466 CO5300 (QSPI) + touch on-cell</t>
  </si>
  <si>
    <t xml:space="preserve">$/buc</t>
  </si>
  <si>
    <t xml:space="preserve">docs/12 §1.2: Tailor-Pixels TOH175XRT-02CG $9–17 la eșantion (https://tailorpixels.com/product/1-75-inch-amoled-round-on-cell-touch-466x466-mipi-qspi/, 20.10.2026); docs/12 §3.1 folosește $10 la 1.000; MOQ doar prin RFQ (NoseDisplay, Lianxun) [estimare]</t>
  </si>
  <si>
    <t xml:space="preserve">mcu_usd</t>
  </si>
  <si>
    <t xml:space="preserve">Modul ESP32-S3-WROOM-1-N16R8</t>
  </si>
  <si>
    <t xml:space="preserve">LCSC C2913202: ~$5,16–5,54 @1, ~$3,46 @650+, ~$3,40 @1.300+ (https://www.lcsc.com/product-detail/WiFi-Modules_Espressif-Systems-ESP32-S3-WROOM-1-N16R8_C2913202.html, 15.10.2026); 100 și 20k [estimare]</t>
  </si>
  <si>
    <t xml:space="preserve">listare</t>
  </si>
  <si>
    <t xml:space="preserve">other_el_usd</t>
  </si>
  <si>
    <t xml:space="preserve">Restul componentelor PCB (PMIC, IMU, codec+amp, 2 mic MEMS, USB-C, pogo, ~120 pasive)</t>
  </si>
  <si>
    <t xml:space="preserve">[estimare] nu există încă BOM pentru PCB-ul custom</t>
  </si>
  <si>
    <t xml:space="preserve">pcb_bare_usd</t>
  </si>
  <si>
    <t xml:space="preserve">PCB gol 4 straturi rotund ~Ø46 mm</t>
  </si>
  <si>
    <t xml:space="preserve">[estimare] docs/12 §3.1: $0,8 la 1.000 (M: $1,0); reper prototip AISLER 14 € + 0,13 €/cm² (vault)</t>
  </si>
  <si>
    <t xml:space="preserve">ws_board_usd</t>
  </si>
  <si>
    <t xml:space="preserve">Placă Waveshare ESP32-S3-Touch-AMOLED-1.75 (doar la arhitectura 2; are 2 microfoane, ES7210 + ES8311, difuzor în kit)</t>
  </si>
  <si>
    <t xml:space="preserve">docs/12 §1.1: $29,99–39,99 pe waveshare.com, verificat 20.10.2026 (https://www.waveshare.com/esp32-s3-touch-amoled-1.75.htm); split pe variante nepublicat</t>
  </si>
  <si>
    <t xml:space="preserve">mic_lei</t>
  </si>
  <si>
    <t xml:space="preserve">Microfon extern (arhitectura 2) — la S nu trebuie: placa AMOLED-1.75 are 2 microfoane</t>
  </si>
  <si>
    <t xml:space="preserve">lei cu TVA</t>
  </si>
  <si>
    <t xml:space="preserve">docs/12 §1.1 [V]; la M era INMP441, Bitmi 20,99 lei</t>
  </si>
  <si>
    <t xml:space="preserve">amp_lei</t>
  </si>
  <si>
    <t xml:space="preserve">Amplificator extern (arhitectura 2) — la S nu trebuie: codecul ES8311 e pe placă</t>
  </si>
  <si>
    <t xml:space="preserve">docs/12 §1.1 [V]; la M era MAX98357A, Robofun 44,18 lei</t>
  </si>
  <si>
    <t xml:space="preserve">battery_usd</t>
  </si>
  <si>
    <t xml:space="preserve">Celulă LiPo 603040 750 mAh cu PCM (la 100 buc. cu placa Waveshare: 503035 500 mAh, S-P0)</t>
  </si>
  <si>
    <t xml:space="preserve">docs/12 §3.1: 503035 ≈ 3,00 € la 100 (S-P0); 603040 $1,5 la 1.000 [estimare]; listarea A&amp;S Power 603040 750 mAh (HKTDC). Cere UN38.3 + IEC 62133.</t>
  </si>
  <si>
    <t xml:space="preserve">speaker_eur</t>
  </si>
  <si>
    <t xml:space="preserve">Difuzor 15×11 mm (la 100 buc.: difuzorul din kitul plăcii Waveshare)</t>
  </si>
  <si>
    <t xml:space="preserve">€/buc</t>
  </si>
  <si>
    <t xml:space="preserve">docs/12 §3.1: la 100 fără difuzor separat (kit); volume mari [estimare]</t>
  </si>
  <si>
    <t xml:space="preserve">glass_usd</t>
  </si>
  <si>
    <t xml:space="preserve">Sticlă frontală plată Ø52, 2.5D, întărită chimic, print negru</t>
  </si>
  <si>
    <t xml:space="preserve">docs/12 §3.1: × ~0,75 față de M (Ø74 → Ø52, setup dominant). Felix Glass $2,88–8,11; Hengping $0,60–1,90 @MOQ 100; Saida $0,20–3,00 @MOQ 100 (https://saidaglass.en.made-in-china.com/product/ZdbJyzMDEYWm/, listări 2–2,5 ani) — ales în interval [estimare]</t>
  </si>
  <si>
    <t xml:space="preserve">mech_eur</t>
  </si>
  <si>
    <t xml:space="preserve">Mecanice mici (șuruburi, magneți, spumă, monedă PCB contacte)</t>
  </si>
  <si>
    <t xml:space="preserve">[estimare] docs/12 §3.1 (−0,5 € față de M); BOM.csv @25 ≈ 4,9 €</t>
  </si>
  <si>
    <t xml:space="preserve">cable_eur</t>
  </si>
  <si>
    <t xml:space="preserve">Cablu USB-C</t>
  </si>
  <si>
    <t xml:space="preserve">[estimare] BOM.csv P0-15: 2,5 € @25</t>
  </si>
  <si>
    <t xml:space="preserve">chassis_eur</t>
  </si>
  <si>
    <t xml:space="preserve">Șasiu + bază/picior din polimer</t>
  </si>
  <si>
    <t xml:space="preserve">[estimare] docs/12 §3.1: 4,5 € @100, 2,6 € @1.000 (M: 6 / 3,5); BOM.csv P0-10</t>
  </si>
  <si>
    <t xml:space="preserve">ou_eur</t>
  </si>
  <si>
    <t xml:space="preserve">Oul OU (carcasă + electronică de încărcare)</t>
  </si>
  <si>
    <t xml:space="preserve">[estimare] docs/12 §3.1: 15 € @100, 10 € @1.000 (M: 18 / 12); BOM P0-13/14: 33 € @25 (SLA); 02-MANUFACTURING §9: $8–12 la 10k</t>
  </si>
  <si>
    <t xml:space="preserve">pack_eur</t>
  </si>
  <si>
    <t xml:space="preserve">Ambalaj (cutie rigidă, certificat, ghid, etichetă)</t>
  </si>
  <si>
    <t xml:space="preserve">[estimare] docs/12 §3.1: 9 € @100, 5 € @1.000 (cutie mai mică); BOM P0-16 8 € + F-03/F-04 2 € @25; Web2Print București de la 25 buc., preț la cerere</t>
  </si>
  <si>
    <t xml:space="preserve">freight_pct</t>
  </si>
  <si>
    <t xml:space="preserve">Transport din Asia (% din valoarea mărfii)</t>
  </si>
  <si>
    <t xml:space="preserve">[estimare] BOM P0-17: DHL ~$14/kg; la volum maritim/feroviar</t>
  </si>
  <si>
    <t xml:space="preserve">duty_el_pct</t>
  </si>
  <si>
    <t xml:space="preserve">Taxă vamală medie componente electronice</t>
  </si>
  <si>
    <t xml:space="preserve">[estimare] multe componente au 0 %</t>
  </si>
  <si>
    <t xml:space="preserve">duty_shell_pct</t>
  </si>
  <si>
    <t xml:space="preserve">Taxă vamală carcase aluminiu</t>
  </si>
  <si>
    <t xml:space="preserve">02-MANUFACTURING §2 / BOM P0-17: ~6 % (HS 7616/8529 după broker; risc antidumping 7616 99 90)</t>
  </si>
  <si>
    <t xml:space="preserve">3. Procese externalizate (scenariul A și reperele de comparație)</t>
  </si>
  <si>
    <t xml:space="preserve">jlc_setup_usd</t>
  </si>
  <si>
    <t xml:space="preserve">JLCPCB taxă setup PCBA (Standard, două fețe)</t>
  </si>
  <si>
    <t xml:space="preserve">$/lot</t>
  </si>
  <si>
    <t xml:space="preserve">https://jlcpcb.com/help/article/pcb-assembly-price (15.10.2026)</t>
  </si>
  <si>
    <t xml:space="preserve">oficial</t>
  </si>
  <si>
    <t xml:space="preserve">jlc_stencil_usd</t>
  </si>
  <si>
    <t xml:space="preserve">JLCPCB stencil</t>
  </si>
  <si>
    <t xml:space="preserve">idem</t>
  </si>
  <si>
    <t xml:space="preserve">jlc_feeder_usd</t>
  </si>
  <si>
    <t xml:space="preserve">JLCPCB taxă feeder per piesă „extended”</t>
  </si>
  <si>
    <t xml:space="preserve">$/piesă/lot</t>
  </si>
  <si>
    <t xml:space="preserve">idem (Economic; aplicat și la Standard [estimare])</t>
  </si>
  <si>
    <t xml:space="preserve">ext_parts</t>
  </si>
  <si>
    <t xml:space="preserve">Piese „extended” distincte pe placă</t>
  </si>
  <si>
    <t xml:space="preserve">buc</t>
  </si>
  <si>
    <t xml:space="preserve">joints</t>
  </si>
  <si>
    <t xml:space="preserve">Puncte de lipire pe placă</t>
  </si>
  <si>
    <t xml:space="preserve">puncte</t>
  </si>
  <si>
    <t xml:space="preserve">[estimare] ~150 componente</t>
  </si>
  <si>
    <t xml:space="preserve">comps</t>
  </si>
  <si>
    <t xml:space="preserve">Componente plasate pe placă</t>
  </si>
  <si>
    <t xml:space="preserve">[estimare] cercetare T2: 150–250</t>
  </si>
  <si>
    <t xml:space="preserve">jlc_joint_usd</t>
  </si>
  <si>
    <t xml:space="preserve">JLCPCB preț per punct de lipire</t>
  </si>
  <si>
    <t xml:space="preserve">$/punct</t>
  </si>
  <si>
    <t xml:space="preserve">JLCPCB: $0,0016/punct, Standard scade până la $0,0012 (tierul exact [estimare])</t>
  </si>
  <si>
    <t xml:space="preserve">ems_pcba_eur</t>
  </si>
  <si>
    <t xml:space="preserve">EMS România: asamblare PCBA per placă (fără componente)</t>
  </si>
  <si>
    <t xml:space="preserve">€/placă</t>
  </si>
  <si>
    <t xml:space="preserve">[estimare] Felix EMS / EMS-Electra / ICCO nu publică prețuri; o ofertă UE de 6 plăci = €312,81 (forum, cercetare). Cere RFQ cu Gerber+BOM+CPL.</t>
  </si>
  <si>
    <t xml:space="preserve">cnc_buy_eur</t>
  </si>
  <si>
    <t xml:space="preserve">Prelucrare CNC set S (față + spate), externalizat, fără finisaj</t>
  </si>
  <si>
    <t xml:space="preserve">€/set</t>
  </si>
  <si>
    <t xml:space="preserve">[estimare] = valorile M (85 / 35 / 27 / 22) × 0,65, factorul carcasei S externe din docs/12 §3.1 (suprafață × 0,50, semifabricat × 0,40, taxe fixe); Vault: S @25 = 92 €/set cu finisaj (BOM P0-12); 1k China $25–45/set pentru S (02-MANUFACTURING §11); curba PREMSA 6061 ~100×70×40: $118 @1 / $61 @25 / $54 @100 (https://premsaindustries.com/en/aluminum-machining). La ≥10k dosarul trece pe ambutisare 5052 (nemodelat).</t>
  </si>
  <si>
    <t xml:space="preserve">blast_buy_eur</t>
  </si>
  <si>
    <t xml:space="preserve">Sablare externalizată (glass bead) per set S</t>
  </si>
  <si>
    <t xml:space="preserve">[estimare] M × 0,65 (docs/12 §3.1)</t>
  </si>
  <si>
    <t xml:space="preserve">anod_base_eur</t>
  </si>
  <si>
    <t xml:space="preserve">Anodizare tip II colorată + sigilare, per set S (fără taxa de lot)</t>
  </si>
  <si>
    <t xml:space="preserve">[estimare] M (5 / 4 / 3,5 / 3) × 0,65 (docs/12 §3.1); Anorom/Alvi/ARSAT nu publică prețuri</t>
  </si>
  <si>
    <t xml:space="preserve">anod_lot_usd</t>
  </si>
  <si>
    <t xml:space="preserve">Taxă minimă per lot de anodizare (per culoare)</t>
  </si>
  <si>
    <t xml:space="preserve">Regulă din industrie: minim ≥$100 per lot (cercetare 15.10.2026) [estimare]</t>
  </si>
  <si>
    <t xml:space="preserve">golden_eur</t>
  </si>
  <si>
    <t xml:space="preserve">Golden sample per culoare</t>
  </si>
  <si>
    <t xml:space="preserve">€/culoare</t>
  </si>
  <si>
    <t xml:space="preserve">Vault BOM B-11: 100 € [E]</t>
  </si>
  <si>
    <t xml:space="preserve">laser_buy_eur</t>
  </si>
  <si>
    <t xml:space="preserve">Marcare laser externalizată (serie + CE/WEEE)</t>
  </si>
  <si>
    <t xml:space="preserve">Vault BOM F-01: 2 € @25 [E]; FabLab Jilava 0,20 €/cm² (vault)</t>
  </si>
  <si>
    <t xml:space="preserve">transport_anod_eur</t>
  </si>
  <si>
    <t xml:space="preserve">Transport intern la anodizator RO și retur (scenariile C, D)</t>
  </si>
  <si>
    <t xml:space="preserve">bb_eur</t>
  </si>
  <si>
    <t xml:space="preserve">EMS România: box build (asamblare + flash + test funcțional + ambalare)</t>
  </si>
  <si>
    <t xml:space="preserve">[estimare] ~20–30 min la ~20–25 €/h; fără preț public. RFQ: Felix EMS (office@felix-ems.ro), EMS-Electra (office@ems-electra.ro)</t>
  </si>
  <si>
    <t xml:space="preserve">a_int_min</t>
  </si>
  <si>
    <t xml:space="preserve">Scenariul A: minute interne per unitate (QC final + ambalare/expediere)</t>
  </si>
  <si>
    <t xml:space="preserve">4. Atelier T0: asamblare, flash, calibrare, test, QC, ambalare</t>
  </si>
  <si>
    <t xml:space="preserve">asm_min</t>
  </si>
  <si>
    <t xml:space="preserve">Manoperă internă per unitate (toți pașii manuali)</t>
  </si>
  <si>
    <t xml:space="preserve">min/unit.</t>
  </si>
  <si>
    <t xml:space="preserve">02-MANUFACTURING §6: ~45 min în serie la început; cercetare: 15–25 min cu fixturi [estimare]</t>
  </si>
  <si>
    <t xml:space="preserve">test_min</t>
  </si>
  <si>
    <t xml:space="preserve">Ciclu jig de test funcțional</t>
  </si>
  <si>
    <t xml:space="preserve">[estimare] cercetare: 3–5 min</t>
  </si>
  <si>
    <t xml:space="preserve">flash_min</t>
  </si>
  <si>
    <t xml:space="preserve">Ciclu flash (per port)</t>
  </si>
  <si>
    <t xml:space="preserve">[estimare]; Espressif Flash Download Tool mod Factory, multi-canal (https://docs.espressif.com/projects/esp-test-tools/en/latest/esp8266/production_stage/tools/flash_download_tool.html)</t>
  </si>
  <si>
    <t xml:space="preserve">flash_ports</t>
  </si>
  <si>
    <t xml:space="preserve">Porturi flash în paralel</t>
  </si>
  <si>
    <t xml:space="preserve">porturi</t>
  </si>
  <si>
    <t xml:space="preserve">[estimare] 4–8 porturi</t>
  </si>
  <si>
    <t xml:space="preserve">burnin_min</t>
  </si>
  <si>
    <t xml:space="preserve">Rodaj (burn-in) per unitate</t>
  </si>
  <si>
    <t xml:space="preserve">02-MANUFACTURING §7: 10 min demo fără reboot</t>
  </si>
  <si>
    <t xml:space="preserve">burnin_slots</t>
  </si>
  <si>
    <t xml:space="preserve">Locuri pe raftul de rodaj</t>
  </si>
  <si>
    <t xml:space="preserve">locuri</t>
  </si>
  <si>
    <t xml:space="preserve">laser_min</t>
  </si>
  <si>
    <t xml:space="preserve">Ciclu marcare laser</t>
  </si>
  <si>
    <t xml:space="preserve">[estimare] cercetare: 30–90 s</t>
  </si>
  <si>
    <t xml:space="preserve">scrap_base</t>
  </si>
  <si>
    <t xml:space="preserve">Rebut / rezervă pe materiale cumpărate</t>
  </si>
  <si>
    <t xml:space="preserve">[estimare] vault folosește +10 % la 25 buc.; la serie 3 %</t>
  </si>
  <si>
    <t xml:space="preserve">qc_tech</t>
  </si>
  <si>
    <t xml:space="preserve">Tehnician QC/test (normă)</t>
  </si>
  <si>
    <t xml:space="preserve">FTE</t>
  </si>
  <si>
    <t xml:space="preserve">[estimare] cercetare: la 10k/an 2–3 operatori + 1 QC</t>
  </si>
  <si>
    <t xml:space="preserve">warehouse_n</t>
  </si>
  <si>
    <t xml:space="preserve">Gestionar/logistică (normă)</t>
  </si>
  <si>
    <t xml:space="preserve">space_B</t>
  </si>
  <si>
    <t xml:space="preserve">Suprafață atelier T0 (incl. stoc)</t>
  </si>
  <si>
    <t xml:space="preserve">m²</t>
  </si>
  <si>
    <t xml:space="preserve">Cercetare: T0 40–60 m²; faza 2 ~200 m² pentru 5–6k/an; pilotul pe bancul fondatorului, fără hală [estimare]</t>
  </si>
  <si>
    <t xml:space="preserve">kwh_B</t>
  </si>
  <si>
    <t xml:space="preserve">Consum electric atelier T0</t>
  </si>
  <si>
    <t xml:space="preserve">kWh/lună</t>
  </si>
  <si>
    <t xml:space="preserve">Cercetare: 1.000–3.000 kWh/lună [estimare]</t>
  </si>
  <si>
    <t xml:space="preserve">bench_eur</t>
  </si>
  <si>
    <t xml:space="preserve">Banc de lucru ESD (Treston Concept Ergo)</t>
  </si>
  <si>
    <t xml:space="preserve">€1.595–3.395 (https://www.wrepair.com/product/esd-workstation-180x75cm/) — mijlocul intervalului</t>
  </si>
  <si>
    <t xml:space="preserve">jig_dev_usd</t>
  </si>
  <si>
    <t xml:space="preserve">Jig de test pogo Fixturfab Dev Pro (sub prag)</t>
  </si>
  <si>
    <t xml:space="preserve">$</t>
  </si>
  <si>
    <t xml:space="preserve">https://fixturfab.com/fixtures (15.10.2026)</t>
  </si>
  <si>
    <t xml:space="preserve">jig_prod_usd</t>
  </si>
  <si>
    <t xml:space="preserve">Jig de test pogo Fixturfab Production (peste prag)</t>
  </si>
  <si>
    <t xml:space="preserve">flash_eur</t>
  </si>
  <si>
    <t xml:space="preserve">Stație flash (hub USB + cabluri + jig)</t>
  </si>
  <si>
    <t xml:space="preserve">[estimare] software Espressif gratuit</t>
  </si>
  <si>
    <t xml:space="preserve">laser_eur</t>
  </si>
  <si>
    <t xml:space="preserve">Laser fibră MOPA Gweike G6</t>
  </si>
  <si>
    <t xml:space="preserve">https://shop.gweikecloud.com/products/g6-mopa-30w-60w-100w-fiber-laser-marking-engraving-machine</t>
  </si>
  <si>
    <t xml:space="preserve">liion_cab_eur</t>
  </si>
  <si>
    <t xml:space="preserve">Dulap Li-ion tip 90 Düperthal XL</t>
  </si>
  <si>
    <t xml:space="preserve">https://www.lion-care.com/en/Dueperthal-BATTERY-standard-line-XL-storage-cabinet/DUPSHSBLSXL1 (fără TVA)</t>
  </si>
  <si>
    <t xml:space="preserve">liion_small_eur</t>
  </si>
  <si>
    <t xml:space="preserve">Container ignifug mic pentru celule (sub prag)</t>
  </si>
  <si>
    <t xml:space="preserve">burnin_eur</t>
  </si>
  <si>
    <t xml:space="preserve">Raft de rodaj + surse USB</t>
  </si>
  <si>
    <t xml:space="preserve">tools_base_eur</t>
  </si>
  <si>
    <t xml:space="preserve">Scule, IT, imprimantă etichete, cântar 0,1 g</t>
  </si>
  <si>
    <t xml:space="preserve">tools_bench_eur</t>
  </si>
  <si>
    <t xml:space="preserve">Accesorii ESD + scule per banc</t>
  </si>
  <si>
    <t xml:space="preserve">€/banc</t>
  </si>
  <si>
    <t xml:space="preserve">Kit ESD 386–702 lei (https://www.electronic-mag.ro/statii-de-lucru-esd/19582-...) + brățări, ionizator [estimare]</t>
  </si>
  <si>
    <t xml:space="preserve">setup_eur</t>
  </si>
  <si>
    <t xml:space="preserve">Înființare (autorizație mediu + consultant, dosar SSM/PSI)</t>
  </si>
  <si>
    <t xml:space="preserve">Autorizație mediu 500 lei (Ord. 1108/2007), SSM 450 lei/funcție + PSI 500 lei (ZOTAS); restul consultant [estimare]</t>
  </si>
  <si>
    <t xml:space="preserve">dep_light</t>
  </si>
  <si>
    <t xml:space="preserve">Amortizare echipamente ușoare (T0)</t>
  </si>
  <si>
    <t xml:space="preserve">ani</t>
  </si>
  <si>
    <t xml:space="preserve">dep_heavy</t>
  </si>
  <si>
    <t xml:space="preserve">Amortizare utilaje (CNC, SMT)</t>
  </si>
  <si>
    <t xml:space="preserve">[estimare] cercetare: 5 ani</t>
  </si>
  <si>
    <t xml:space="preserve">5. Personal și spațiu</t>
  </si>
  <si>
    <t xml:space="preserve">sal_op_lei</t>
  </si>
  <si>
    <t xml:space="preserve">Salariu operator asamblare (brut)</t>
  </si>
  <si>
    <t xml:space="preserve">lei/lună</t>
  </si>
  <si>
    <t xml:space="preserve">Paylab 4.050–6.785; minim 4.325 brut din 1.07.2026 (HG 146/2026)</t>
  </si>
  <si>
    <t xml:space="preserve">sal_tech_lei</t>
  </si>
  <si>
    <t xml:space="preserve">Salariu tehnician electronică / QC / SMT (brut)</t>
  </si>
  <si>
    <t xml:space="preserve">WageIndicator 2026: 5.303–7.714 brut</t>
  </si>
  <si>
    <t xml:space="preserve">sal_prog_lei</t>
  </si>
  <si>
    <t xml:space="preserve">Salariu programator CNC (brut), primul operator CNC</t>
  </si>
  <si>
    <t xml:space="preserve">[estimare] Indeed: de la 6.500 net → ~10.500–11.100 brut</t>
  </si>
  <si>
    <t xml:space="preserve">sal_cncop_lei</t>
  </si>
  <si>
    <t xml:space="preserve">Salariu operator CNC (brut)</t>
  </si>
  <si>
    <t xml:space="preserve">meseriile.ro / Jooble București 2026: ~4.000–7.000</t>
  </si>
  <si>
    <t xml:space="preserve">sal_wh_lei</t>
  </si>
  <si>
    <t xml:space="preserve">Salariu gestionar depozit</t>
  </si>
  <si>
    <t xml:space="preserve">OLX Sector 4 (30.09.2026): 4.000–4.300</t>
  </si>
  <si>
    <t xml:space="preserve">cam_rate</t>
  </si>
  <si>
    <t xml:space="preserve">Contribuția asiguratorie pentru muncă (angajator)</t>
  </si>
  <si>
    <t xml:space="preserve">[de verificat] CAM 2,25 % (Cod fiscal art. 220^1)</t>
  </si>
  <si>
    <t xml:space="preserve">rent_m2</t>
  </si>
  <si>
    <t xml:space="preserve">Chirie spațiu mic de producție</t>
  </si>
  <si>
    <t xml:space="preserve">€/m²/lună</t>
  </si>
  <si>
    <t xml:space="preserve">[estimare] cercetare 6–8 €/m²; publi24 Ilfov 13–15.10.2026: 3,5–8,5 €/m² (https://www.publi24.ro/anunturi/imobiliare/de-inchiriat/spatii-comerciale/hala-industriala/ilfov/)</t>
  </si>
  <si>
    <t xml:space="preserve">service_m2</t>
  </si>
  <si>
    <t xml:space="preserve">Servicii / mentenanță spațiu</t>
  </si>
  <si>
    <t xml:space="preserve">[estimare] 0,5–0,9 €/m²</t>
  </si>
  <si>
    <t xml:space="preserve">elec_lei_kwh</t>
  </si>
  <si>
    <t xml:space="preserve">Energie electrică all-in (fără TVA)</t>
  </si>
  <si>
    <t xml:space="preserve">lei/kWh</t>
  </si>
  <si>
    <t xml:space="preserve">[estimare] 1,2–1,6; POSF 792,93 lei/MWh doar energie, S1 2026 (https://posf.ro/comparator/files/furnizori/1767174801Oferta-noncasnici-Business-Stabil-01.01.2026.pdf)</t>
  </si>
  <si>
    <t xml:space="preserve">6. Permise, asigurări, SSM</t>
  </si>
  <si>
    <t xml:space="preserve">ins_A</t>
  </si>
  <si>
    <t xml:space="preserve">Asigurări scenariul A (RC produs)</t>
  </si>
  <si>
    <t xml:space="preserve">€/an</t>
  </si>
  <si>
    <t xml:space="preserve">[estimare] 500–2.000 €/an; doar Groupama RC generală de la €160/an (2022)</t>
  </si>
  <si>
    <t xml:space="preserve">ins_B</t>
  </si>
  <si>
    <t xml:space="preserve">Asigurări scenariile B–D (RC produs + bunuri)</t>
  </si>
  <si>
    <t xml:space="preserve">epr_fixed</t>
  </si>
  <si>
    <t xml:space="preserve">EPR: OIREP + declarații AFM (fix)</t>
  </si>
  <si>
    <t xml:space="preserve">[estimare] înregistrări ANMAP 2 × 500 lei (EEE + baterii)</t>
  </si>
  <si>
    <t xml:space="preserve">env_visa_lei</t>
  </si>
  <si>
    <t xml:space="preserve">Viză anuală autorizație de mediu (CAEN 2640 e pe lista Ord. 1798/2007)</t>
  </si>
  <si>
    <t xml:space="preserve">lei/an</t>
  </si>
  <si>
    <t xml:space="preserve">Ord. 1150/2020 art. 8(1)</t>
  </si>
  <si>
    <t xml:space="preserve">ssm_small_lei</t>
  </si>
  <si>
    <t xml:space="preserve">SSM + PSI externalizat, 1–5 angajați</t>
  </si>
  <si>
    <t xml:space="preserve">ZOTAS (10.10.2026) https://zotas.ro/ghiduri/cat-costa-ssm-firma-mica/</t>
  </si>
  <si>
    <t xml:space="preserve">ssm_emp_lei</t>
  </si>
  <si>
    <t xml:space="preserve">SSM + PSI externalizat, peste 5 angajați</t>
  </si>
  <si>
    <t xml:space="preserve">lei/angajat/lună</t>
  </si>
  <si>
    <t xml:space="preserve">idem (6–29 angajați)</t>
  </si>
  <si>
    <t xml:space="preserve">med_lei</t>
  </si>
  <si>
    <t xml:space="preserve">Medicina muncii</t>
  </si>
  <si>
    <t xml:space="preserve">lei/pers./an</t>
  </si>
  <si>
    <t xml:space="preserve">50–100 lei (avizemedicale.ro)</t>
  </si>
  <si>
    <t xml:space="preserve">payroll_lei</t>
  </si>
  <si>
    <t xml:space="preserve">Salarizare / contabilitate per angajat</t>
  </si>
  <si>
    <t xml:space="preserve">psi_eur</t>
  </si>
  <si>
    <t xml:space="preserve">PSI: stingătoare, verificări</t>
  </si>
  <si>
    <t xml:space="preserve">soft_B_eur</t>
  </si>
  <si>
    <t xml:space="preserve">Software trasabilitate / MES ușor / etichete</t>
  </si>
  <si>
    <t xml:space="preserve">7. Celulă CNC proprie (T1) — anodizarea rămâne externă</t>
  </si>
  <si>
    <t xml:space="preserve">cnc_list_usd</t>
  </si>
  <si>
    <t xml:space="preserve">Haas VF-2, preț listă SUA</t>
  </si>
  <si>
    <t xml:space="preserve">https://machinetoolindex.com/machines/haas-vf-2 (verificat 2.10.2026); preț UE doar la cerere (HFO). Alternativă second-hand: VF-2SSYT 2012 €32.500 + TVA</t>
  </si>
  <si>
    <t xml:space="preserve">cnc_extra_pct</t>
  </si>
  <si>
    <t xml:space="preserve">Opțiuni + transport UE + instalare (% peste listă)</t>
  </si>
  <si>
    <t xml:space="preserve">cnc_tooling_eur</t>
  </si>
  <si>
    <t xml:space="preserve">Scule, menghine, fixturi, palpator per mașină</t>
  </si>
  <si>
    <t xml:space="preserve">[estimare] cercetare: €10–25k</t>
  </si>
  <si>
    <t xml:space="preserve">blast_cab_lei</t>
  </si>
  <si>
    <t xml:space="preserve">Cabină de sablare 350 L (Big Red Jack)</t>
  </si>
  <si>
    <t xml:space="preserve">Mtools, ofertă 1–31.10.2026 (https://www.mtools.ro/...dulap-de-sablare-cu-cabina-350-litri-si-aspirator-big-red-jack)</t>
  </si>
  <si>
    <t xml:space="preserve">compressor_lei</t>
  </si>
  <si>
    <t xml:space="preserve">Compresor cu șurub 7,5 kW Fiac New Silver 10</t>
  </si>
  <si>
    <t xml:space="preserve">Dedeman (https://www.dedeman.ro/ro/compresor-aer-cu-surub-cu-ulei-fiac-new-silver-10-7-5-kw-10-cp/p/1066403)</t>
  </si>
  <si>
    <t xml:space="preserve">ultrasonic_eur</t>
  </si>
  <si>
    <t xml:space="preserve">Baie cu ultrasunete 30 L profesională</t>
  </si>
  <si>
    <t xml:space="preserve">Multilab (+TVA) https://www.multilab.ro/bai/baie_curatare_ultrasunete.html</t>
  </si>
  <si>
    <t xml:space="preserve">cnc_install_eur</t>
  </si>
  <si>
    <t xml:space="preserve">Racord trifazic 25–40 kVA, pardoseală, zonă șpan</t>
  </si>
  <si>
    <t xml:space="preserve">cam_usd</t>
  </si>
  <si>
    <t xml:space="preserve">Autodesk Fusion (CAM comercial)</t>
  </si>
  <si>
    <t xml:space="preserve">$/an</t>
  </si>
  <si>
    <t xml:space="preserve">https://vagon.io/blog/fusion-360-pricing (prețuri Autodesk SUA, 11.08.2026)</t>
  </si>
  <si>
    <t xml:space="preserve">maint_pct</t>
  </si>
  <si>
    <t xml:space="preserve">Mentenanță utilaje (% din capex/an)</t>
  </si>
  <si>
    <t xml:space="preserve">ct_S</t>
  </si>
  <si>
    <t xml:space="preserve">Timp ciclu CNC set S (2 carcase)</t>
  </si>
  <si>
    <t xml:space="preserve">min/set</t>
  </si>
  <si>
    <t xml:space="preserve">docs/size-s.json cnc.cycle_min_per_set = 24 [estimare] (20–30; M 45 × 0,53, docs/12 §3.2); de verificat prin simulare CAM pe STEP-ul S de 23 mm, care nu există încă</t>
  </si>
  <si>
    <t xml:space="preserve">ct_Malt</t>
  </si>
  <si>
    <t xml:space="preserve">Timp ciclu CNC set M (prototipul, comparație)</t>
  </si>
  <si>
    <t xml:space="preserve">size-s.json cnc.m_reference = 45 [estimare] (cercetare: 30–60 min)</t>
  </si>
  <si>
    <t xml:space="preserve">mat_kg_S</t>
  </si>
  <si>
    <t xml:space="preserve">Semifabricat aluminiu per set S</t>
  </si>
  <si>
    <t xml:space="preserve">kg/set</t>
  </si>
  <si>
    <t xml:space="preserve">docs/size-s.json cnc.billet_kg_per_set = 0,4 (0,36 kg calculat + 11 %, docs/12 §3.2)</t>
  </si>
  <si>
    <t xml:space="preserve">mat_kg_Malt</t>
  </si>
  <si>
    <t xml:space="preserve">Semifabricat aluminiu per set M (prototipul, comparație)</t>
  </si>
  <si>
    <t xml:space="preserve">size-s.json cnc.m_reference = 1,0 [estimare] (cercetare: ~0,49 kg/jumătate)</t>
  </si>
  <si>
    <t xml:space="preserve">mat_lei_kg</t>
  </si>
  <si>
    <t xml:space="preserve">Bară aluminiu (reper 6082-T6 Ø60)</t>
  </si>
  <si>
    <t xml:space="preserve">lei/kg cu TVA</t>
  </si>
  <si>
    <t xml:space="preserve">Baduc 326,86 lei/m cu TVA la 7,63 kg/m (https://www.baduc.ro/metalurgice/4113-bara-rotunda-aluminiu--=-60-mm); 6061-T6 doar la cerere</t>
  </si>
  <si>
    <t xml:space="preserve">tool_wear_eur</t>
  </si>
  <si>
    <t xml:space="preserve">Uzură scule per set S</t>
  </si>
  <si>
    <t xml:space="preserve">[estimare] M 1,5 € × 24/45 min (cercetare: €1–2 pe set M)</t>
  </si>
  <si>
    <t xml:space="preserve">cnc_kw</t>
  </si>
  <si>
    <t xml:space="preserve">Putere medie CNC în lucru</t>
  </si>
  <si>
    <t xml:space="preserve">kW</t>
  </si>
  <si>
    <t xml:space="preserve">[estimare] cercetare: 8–10 kW</t>
  </si>
  <si>
    <t xml:space="preserve">blast_cons_eur</t>
  </si>
  <si>
    <t xml:space="preserve">Consumabile sablare per set</t>
  </si>
  <si>
    <t xml:space="preserve">[estimare] glass bead ~$47–59 / sac 50 lb</t>
  </si>
  <si>
    <t xml:space="preserve">scrap_cnc</t>
  </si>
  <si>
    <t xml:space="preserve">Rebut CNC în casă</t>
  </si>
  <si>
    <t xml:space="preserve">m2_cnc</t>
  </si>
  <si>
    <t xml:space="preserve">Suprafață per mașină CNC</t>
  </si>
  <si>
    <t xml:space="preserve">[estimare] Speedio 1,6×2,1 m; VF-2 3,5 t + acces, șpan</t>
  </si>
  <si>
    <t xml:space="preserve">m2_cnc_common</t>
  </si>
  <si>
    <t xml:space="preserve">Suprafață comună CNC (sablare, compresor, debavurare)</t>
  </si>
  <si>
    <t xml:space="preserve">waste_eur</t>
  </si>
  <si>
    <t xml:space="preserve">Contract deșeuri periculoase (emulsie 12 01 09*)</t>
  </si>
  <si>
    <t xml:space="preserve">[estimare] CAEN 2562 e și el pe lista Ord. 1798/2007</t>
  </si>
  <si>
    <t xml:space="preserve">mpo</t>
  </si>
  <si>
    <t xml:space="preserve">Mașini CNC deservite de un operator</t>
  </si>
  <si>
    <t xml:space="preserve">mașini</t>
  </si>
  <si>
    <t xml:space="preserve">f_cnc_Malt</t>
  </si>
  <si>
    <t xml:space="preserve">M (comparație): factor preț CNC externalizat față de S</t>
  </si>
  <si>
    <t xml:space="preserve">×</t>
  </si>
  <si>
    <t xml:space="preserve">[estimare] 1 / 0,65 (docs/12 §3.1)</t>
  </si>
  <si>
    <t xml:space="preserve">f_anod_Malt</t>
  </si>
  <si>
    <t xml:space="preserve">M (comparație): factor anodizare/sablare față de S</t>
  </si>
  <si>
    <t xml:space="preserve">[estimare] 1 / 0,65 (suprafață × 2, dar taxe fixe pe bucată)</t>
  </si>
  <si>
    <t xml:space="preserve">8. Linie SMT proprie (T2)</t>
  </si>
  <si>
    <t xml:space="preserve">printer_eur</t>
  </si>
  <si>
    <t xml:space="preserve">Imprimantă pastă NeoDen FP2636</t>
  </si>
  <si>
    <t xml:space="preserve">https://neodentech.eu/contents/en-uk/p55129_NEODEN-FP2636-Stencil-Printer-for-frameless-stencils.html</t>
  </si>
  <si>
    <t xml:space="preserve">pnp_eur</t>
  </si>
  <si>
    <t xml:space="preserve">Pick-and-place NeoDen4 cu conveyor</t>
  </si>
  <si>
    <t xml:space="preserve">PrintTec EU (snippet căutare; https://www.neodentech.eu/contents/en-uk/d8_NEODEN4.html dădea 503)</t>
  </si>
  <si>
    <t xml:space="preserve">reflow_usd</t>
  </si>
  <si>
    <t xml:space="preserve">Cuptor reflow NeoDen IN6</t>
  </si>
  <si>
    <t xml:space="preserve">$2.399–5.499 (https://neoden-solution.com/collections/reflow-ovens/products/neoden-in6-reflow-oven) — mijloc [estimare]</t>
  </si>
  <si>
    <t xml:space="preserve">aoi_usd</t>
  </si>
  <si>
    <t xml:space="preserve">AOI offline NeoDen ND880</t>
  </si>
  <si>
    <t xml:space="preserve">https://www.neodensmt.com/automatic-inspection-machine/nd880-offline-aoi-machine.html</t>
  </si>
  <si>
    <t xml:space="preserve">msl_eur</t>
  </si>
  <si>
    <t xml:space="preserve">Dulap uscat MSL</t>
  </si>
  <si>
    <t xml:space="preserve">[estimare, neverificat]</t>
  </si>
  <si>
    <t xml:space="preserve">feeders_eur</t>
  </si>
  <si>
    <t xml:space="preserve">Feedere suplimentare</t>
  </si>
  <si>
    <t xml:space="preserve">smt_install_eur</t>
  </si>
  <si>
    <t xml:space="preserve">Extracție fum, ESD, instalare</t>
  </si>
  <si>
    <t xml:space="preserve">cph_real</t>
  </si>
  <si>
    <t xml:space="preserve">Viteză reală P&amp;P</t>
  </si>
  <si>
    <t xml:space="preserve">comp./h</t>
  </si>
  <si>
    <t xml:space="preserve">[estimare] 4.000 CPH nominal × ~60 %</t>
  </si>
  <si>
    <t xml:space="preserve">handling_min</t>
  </si>
  <si>
    <t xml:space="preserve">Încărcare/descărcare per placă</t>
  </si>
  <si>
    <t xml:space="preserve">smt_var_eur</t>
  </si>
  <si>
    <t xml:space="preserve">Pastă, consumabile per placă</t>
  </si>
  <si>
    <t xml:space="preserve">yield_in</t>
  </si>
  <si>
    <t xml:space="preserve">Pierderi de randament SMT în casă</t>
  </si>
  <si>
    <t xml:space="preserve">yield_out</t>
  </si>
  <si>
    <t xml:space="preserve">Pierderi de randament la EMS</t>
  </si>
  <si>
    <t xml:space="preserve">smt_kw</t>
  </si>
  <si>
    <t xml:space="preserve">Putere medie linie SMT</t>
  </si>
  <si>
    <t xml:space="preserve">[estimare] reflow ~700 W în lucru + P&amp;P + AOI</t>
  </si>
  <si>
    <t xml:space="preserve">m2_smt</t>
  </si>
  <si>
    <t xml:space="preserve">Suprafață linie SMT</t>
  </si>
  <si>
    <t xml:space="preserve">[estimare] cercetare: +40–60 m²</t>
  </si>
  <si>
    <t xml:space="preserve">smt_cons_eur</t>
  </si>
  <si>
    <t xml:space="preserve">Stenciluri, piese de schimb</t>
  </si>
  <si>
    <t xml:space="preserve">9. NRE produs (comun tuturor scenariilor; nu ține de fabrică)</t>
  </si>
  <si>
    <t xml:space="preserve">pcb_design_usd</t>
  </si>
  <si>
    <t xml:space="preserve">Proiectare PCB custom + PCBA NRE (doar arhitectura 1)</t>
  </si>
  <si>
    <t xml:space="preserve">02-MANUFACTURING §11: $15–30k [E]</t>
  </si>
  <si>
    <t xml:space="preserve">glass_nre_usd</t>
  </si>
  <si>
    <t xml:space="preserve">NRE sticlă custom + laminare</t>
  </si>
  <si>
    <t xml:space="preserve">02-MANUFACTURING §11: $5–15k [E]</t>
  </si>
  <si>
    <t xml:space="preserve">ou_tool_eur</t>
  </si>
  <si>
    <t xml:space="preserve">Matrițe OU</t>
  </si>
  <si>
    <t xml:space="preserve">[estimare] 1k: aluminiu Protolabs; ≥5k: oțel $16–26k (02-MANUFACTURING §9)</t>
  </si>
  <si>
    <t xml:space="preserve">nre_years</t>
  </si>
  <si>
    <t xml:space="preserve">Ani pe care se amortizează NRE</t>
  </si>
  <si>
    <t xml:space="preserve">SCENARII: cost per unitate, capex și costuri fixe (mărimea S, EUR fără TVA; TVA apare ca cost doar sub plafonul de scutire)</t>
  </si>
  <si>
    <t xml:space="preserve">A = totul externalizat (EMS face PCBA + box build, CNC + anodizare + sticlă la parteneri; noi QC final + ambalare). B = atelier T0 propriu (asamblare, flash, calibrare, test, QC, ambalare). C = B + celulă CNC proprie. D = C + linie SMT proprie. Anodizarea rămâne externă în toate.</t>
  </si>
  <si>
    <t xml:space="preserve">Linie</t>
  </si>
  <si>
    <t xml:space="preserve">Explicație</t>
  </si>
  <si>
    <t xml:space="preserve">Comun tuturor scenariilor</t>
  </si>
  <si>
    <t xml:space="preserve">Volum</t>
  </si>
  <si>
    <t xml:space="preserve">route</t>
  </si>
  <si>
    <t xml:space="preserve">Arhitectura electronică (1 = PCB propriu, 2 = placă Waveshare)</t>
  </si>
  <si>
    <t xml:space="preserve">turnover_lei</t>
  </si>
  <si>
    <t xml:space="preserve">Cifră de afaceri estimată</t>
  </si>
  <si>
    <t xml:space="preserve">vatflag</t>
  </si>
  <si>
    <t xml:space="preserve">Firma e plătitoare de TVA? (1 = da)</t>
  </si>
  <si>
    <t xml:space="preserve">peste plafon înregistrarea e obligatorie → TVA deductibil</t>
  </si>
  <si>
    <t xml:space="preserve">vatcost</t>
  </si>
  <si>
    <t xml:space="preserve">TVA nerecuperabil aplicat achizițiilor</t>
  </si>
  <si>
    <t xml:space="preserve">hourly_op</t>
  </si>
  <si>
    <t xml:space="preserve">Cost operator per oră productivă</t>
  </si>
  <si>
    <t xml:space="preserve">el_comp</t>
  </si>
  <si>
    <t xml:space="preserve">Electronică (panou + modul + componente + PCB gol, sau placa Waveshare AMOLED-1.75)</t>
  </si>
  <si>
    <t xml:space="preserve">batt</t>
  </si>
  <si>
    <t xml:space="preserve">Baterie LiPo 750 mAh (500 mAh la S-P0)</t>
  </si>
  <si>
    <t xml:space="preserve">glass</t>
  </si>
  <si>
    <t xml:space="preserve">Sticlă frontală 2.5D</t>
  </si>
  <si>
    <t xml:space="preserve">small</t>
  </si>
  <si>
    <t xml:space="preserve">Difuzor + mecanice mici + cablu</t>
  </si>
  <si>
    <t xml:space="preserve">imp_el</t>
  </si>
  <si>
    <t xml:space="preserve">Subtotal piese importate</t>
  </si>
  <si>
    <t xml:space="preserve">log_el</t>
  </si>
  <si>
    <t xml:space="preserve">Transport + taxă vamală piese importate</t>
  </si>
  <si>
    <t xml:space="preserve">local</t>
  </si>
  <si>
    <t xml:space="preserve">Piese locale (OU, ambalaj, șasiu/bază)</t>
  </si>
  <si>
    <t xml:space="preserve">bom</t>
  </si>
  <si>
    <t xml:space="preserve">BOM total livrat (fără carcasă Al și fără manoperă)</t>
  </si>
  <si>
    <t xml:space="preserve">pcba_jlc</t>
  </si>
  <si>
    <t xml:space="preserve">PCBA la JLCPCB per placă (manoperă + setup/lot, livrat)</t>
  </si>
  <si>
    <t xml:space="preserve">pcba_ems</t>
  </si>
  <si>
    <t xml:space="preserve">PCBA la EMS România per placă</t>
  </si>
  <si>
    <t xml:space="preserve">pcba_buy</t>
  </si>
  <si>
    <t xml:space="preserve">PCBA externalizat folosit (după selector)</t>
  </si>
  <si>
    <t xml:space="preserve">anod_set</t>
  </si>
  <si>
    <t xml:space="preserve">Anodizare per set (bază + taxe de lot × culori × loturi / volum)</t>
  </si>
  <si>
    <t xml:space="preserve">shell_buy</t>
  </si>
  <si>
    <t xml:space="preserve">Carcasă S externalizată (CNC + sablare + anodizare, livrată)</t>
  </si>
  <si>
    <t xml:space="preserve">mat_eur_kg</t>
  </si>
  <si>
    <t xml:space="preserve">Aluminiu net de TVA</t>
  </si>
  <si>
    <t xml:space="preserve">€/kg</t>
  </si>
  <si>
    <t xml:space="preserve">shell_make_cnc</t>
  </si>
  <si>
    <t xml:space="preserve">CNC în casă: material + scule + energie + sablare, cu rebut</t>
  </si>
  <si>
    <t xml:space="preserve">shell_make</t>
  </si>
  <si>
    <t xml:space="preserve">Carcasă S în casă: variabil (CNC propriu + anodizare RO + transport)</t>
  </si>
  <si>
    <t xml:space="preserve">board_val</t>
  </si>
  <si>
    <t xml:space="preserve">Valoarea componentelor de pe PCB (pentru pierderi SMT)</t>
  </si>
  <si>
    <t xml:space="preserve">smt_make</t>
  </si>
  <si>
    <t xml:space="preserve">SMT în casă: variabil per placă (consumabile + pierderi suplimentare)</t>
  </si>
  <si>
    <t xml:space="preserve">Capacitate și personal (calculat din volum)</t>
  </si>
  <si>
    <t xml:space="preserve">asm_h</t>
  </si>
  <si>
    <t xml:space="preserve">Ore de manoperă internă T0 pe an</t>
  </si>
  <si>
    <t xml:space="preserve">asm_fte_raw</t>
  </si>
  <si>
    <t xml:space="preserve">Operatori asamblare necesari (FTE exact)</t>
  </si>
  <si>
    <t xml:space="preserve">asm_fte</t>
  </si>
  <si>
    <t xml:space="preserve">Operatori plătiți (sub 0,5 = part-time/fondator plătit la oră; altfel rotunjit la 0,5)</t>
  </si>
  <si>
    <t xml:space="preserve">benches</t>
  </si>
  <si>
    <t xml:space="preserve">Bancuri ESD</t>
  </si>
  <si>
    <t xml:space="preserve">jigs</t>
  </si>
  <si>
    <t xml:space="preserve">Jig-uri de test</t>
  </si>
  <si>
    <t xml:space="preserve">hc_B</t>
  </si>
  <si>
    <t xml:space="preserve">Angajați T0 (număr de persoane)</t>
  </si>
  <si>
    <t xml:space="preserve">jig_price</t>
  </si>
  <si>
    <t xml:space="preserve">Preț jig de test</t>
  </si>
  <si>
    <t xml:space="preserve">golden</t>
  </si>
  <si>
    <t xml:space="preserve">Golden samples (per culoare)</t>
  </si>
  <si>
    <t xml:space="preserve">cnc_cap</t>
  </si>
  <si>
    <t xml:space="preserve">Capacitate CNC: seturi S / mașină / schimb / an</t>
  </si>
  <si>
    <t xml:space="preserve">cnc_m</t>
  </si>
  <si>
    <t xml:space="preserve">Mașini CNC necesare</t>
  </si>
  <si>
    <t xml:space="preserve">cnc_sh</t>
  </si>
  <si>
    <t xml:space="preserve">Schimburi CNC</t>
  </si>
  <si>
    <t xml:space="preserve">cnc_ops</t>
  </si>
  <si>
    <t xml:space="preserve">Operatori CNC (primul = programator)</t>
  </si>
  <si>
    <t xml:space="preserve">cnc_util</t>
  </si>
  <si>
    <t xml:space="preserve">Utilizare CNC</t>
  </si>
  <si>
    <t xml:space="preserve">cnc_machine_eur</t>
  </si>
  <si>
    <t xml:space="preserve">Cost mașină CNC instalată</t>
  </si>
  <si>
    <t xml:space="preserve">cnc_common</t>
  </si>
  <si>
    <t xml:space="preserve">Echipamente comune CNC (sablare, compresor, ultrasunete, instalare)</t>
  </si>
  <si>
    <t xml:space="preserve">cnc_capex</t>
  </si>
  <si>
    <t xml:space="preserve">Capex celulă CNC (net)</t>
  </si>
  <si>
    <t xml:space="preserve">smt_cap</t>
  </si>
  <si>
    <t xml:space="preserve">Capacitate SMT: plăci / linie / schimb / an</t>
  </si>
  <si>
    <t xml:space="preserve">smt_lines</t>
  </si>
  <si>
    <t xml:space="preserve">Linii SMT</t>
  </si>
  <si>
    <t xml:space="preserve">smt_sh</t>
  </si>
  <si>
    <t xml:space="preserve">Schimburi SMT</t>
  </si>
  <si>
    <t xml:space="preserve">smt_techs</t>
  </si>
  <si>
    <t xml:space="preserve">Tehnicieni SMT</t>
  </si>
  <si>
    <t xml:space="preserve">smt_capex_line</t>
  </si>
  <si>
    <t xml:space="preserve">Capex per linie SMT (net)</t>
  </si>
  <si>
    <t xml:space="preserve">smt_capex</t>
  </si>
  <si>
    <t xml:space="preserve">Capex SMT (net)</t>
  </si>
  <si>
    <t xml:space="preserve">hc_C</t>
  </si>
  <si>
    <t xml:space="preserve">Angajați scenariul C</t>
  </si>
  <si>
    <t xml:space="preserve">hc_D</t>
  </si>
  <si>
    <t xml:space="preserve">Angajați scenariul D</t>
  </si>
  <si>
    <t xml:space="preserve">Scenariul A — totul externalizat (lanț de producție)</t>
  </si>
  <si>
    <t xml:space="preserve">A_capex</t>
  </si>
  <si>
    <t xml:space="preserve">CAPEX (jig de test predat la EMS + golden samples)</t>
  </si>
  <si>
    <t xml:space="preserve">A_rent</t>
  </si>
  <si>
    <t xml:space="preserve">Chirie + utilități</t>
  </si>
  <si>
    <t xml:space="preserve">fără hală: stocul stă la EMS / 3PL</t>
  </si>
  <si>
    <t xml:space="preserve">A_sal</t>
  </si>
  <si>
    <t xml:space="preserve">Salarii</t>
  </si>
  <si>
    <t xml:space="preserve">QC final plătit la oră, în costul variabil</t>
  </si>
  <si>
    <t xml:space="preserve">A_dep</t>
  </si>
  <si>
    <t xml:space="preserve">Amortizare</t>
  </si>
  <si>
    <t xml:space="preserve">A_perm</t>
  </si>
  <si>
    <t xml:space="preserve">Asigurări, EPR</t>
  </si>
  <si>
    <t xml:space="preserve">A_fixed</t>
  </si>
  <si>
    <t xml:space="preserve">COSTURI FIXE / an</t>
  </si>
  <si>
    <t xml:space="preserve">A_v_bom</t>
  </si>
  <si>
    <t xml:space="preserve">BOM livrat</t>
  </si>
  <si>
    <t xml:space="preserve">A_v_pcba</t>
  </si>
  <si>
    <t xml:space="preserve">PCBA externalizat</t>
  </si>
  <si>
    <t xml:space="preserve">A_v_shell</t>
  </si>
  <si>
    <t xml:space="preserve">Carcasă externalizată</t>
  </si>
  <si>
    <t xml:space="preserve">A_v_laser</t>
  </si>
  <si>
    <t xml:space="preserve">Marcare laser la furnizor</t>
  </si>
  <si>
    <t xml:space="preserve">A_v_bb</t>
  </si>
  <si>
    <t xml:space="preserve">Box build la EMS (asamblare + flash + test + ambalare)</t>
  </si>
  <si>
    <t xml:space="preserve">A_v_lab</t>
  </si>
  <si>
    <t xml:space="preserve">QC final + expediere internă</t>
  </si>
  <si>
    <t xml:space="preserve">A_scrap</t>
  </si>
  <si>
    <t xml:space="preserve">Rebut / rezervă</t>
  </si>
  <si>
    <t xml:space="preserve">A_vat</t>
  </si>
  <si>
    <t xml:space="preserve">TVA nerecuperabil pe achiziții (doar sub plafon)</t>
  </si>
  <si>
    <t xml:space="preserve">A_var</t>
  </si>
  <si>
    <t xml:space="preserve">COST VARIABIL / unitate</t>
  </si>
  <si>
    <t xml:space="preserve">A_fix_u</t>
  </si>
  <si>
    <t xml:space="preserve">Cost fix / unitate</t>
  </si>
  <si>
    <t xml:space="preserve">A_total</t>
  </si>
  <si>
    <t xml:space="preserve">COST TOTAL / unitate (fără NRE produs)</t>
  </si>
  <si>
    <t xml:space="preserve">A_nre</t>
  </si>
  <si>
    <t xml:space="preserve">NRE produs / unitate (comun: PCB, sticlă, matrițe OU, pe 3 ani)</t>
  </si>
  <si>
    <t xml:space="preserve">A_total_nre</t>
  </si>
  <si>
    <t xml:space="preserve">COST TOTAL / unitate cu NRE</t>
  </si>
  <si>
    <t xml:space="preserve">A_price</t>
  </si>
  <si>
    <t xml:space="preserve">Preț net încasat (fără TVA dacă firma e plătitoare)</t>
  </si>
  <si>
    <t xml:space="preserve">A_margin</t>
  </si>
  <si>
    <t xml:space="preserve">Marjă brută / unitate (cu NRE)</t>
  </si>
  <si>
    <t xml:space="preserve">A_margin_pct</t>
  </si>
  <si>
    <t xml:space="preserve">Marjă brută %</t>
  </si>
  <si>
    <t xml:space="preserve">Scenariul B — atelier T0 propriu (asamblare + flash + calibrare + test + QC + ambalare)</t>
  </si>
  <si>
    <t xml:space="preserve">B_capex</t>
  </si>
  <si>
    <t xml:space="preserve">CAPEX T0</t>
  </si>
  <si>
    <t xml:space="preserve">B_rent</t>
  </si>
  <si>
    <t xml:space="preserve">Chirie + servicii</t>
  </si>
  <si>
    <t xml:space="preserve">B_util</t>
  </si>
  <si>
    <t xml:space="preserve">Energie atelier</t>
  </si>
  <si>
    <t xml:space="preserve">B_sal</t>
  </si>
  <si>
    <t xml:space="preserve">Salarii (operatori + QC + gestionar, cu CAM)</t>
  </si>
  <si>
    <t xml:space="preserve">B_dep</t>
  </si>
  <si>
    <t xml:space="preserve">B_perm</t>
  </si>
  <si>
    <t xml:space="preserve">Permise, asigurări, SSM, medicina muncii, EPR, software</t>
  </si>
  <si>
    <t xml:space="preserve">B_fixed</t>
  </si>
  <si>
    <t xml:space="preserve">B_v_bom</t>
  </si>
  <si>
    <t xml:space="preserve">B_v_pcba</t>
  </si>
  <si>
    <t xml:space="preserve">B_v_shell</t>
  </si>
  <si>
    <t xml:space="preserve">B_v_laser</t>
  </si>
  <si>
    <t xml:space="preserve">Marcare laser (externă sub prag, apoi laser propriu)</t>
  </si>
  <si>
    <t xml:space="preserve">B_scrap</t>
  </si>
  <si>
    <t xml:space="preserve">B_vat</t>
  </si>
  <si>
    <t xml:space="preserve">B_var</t>
  </si>
  <si>
    <t xml:space="preserve">B_fix_u</t>
  </si>
  <si>
    <t xml:space="preserve">B_total</t>
  </si>
  <si>
    <t xml:space="preserve">B_nre</t>
  </si>
  <si>
    <t xml:space="preserve">B_total_nre</t>
  </si>
  <si>
    <t xml:space="preserve">B_price</t>
  </si>
  <si>
    <t xml:space="preserve">B_margin</t>
  </si>
  <si>
    <t xml:space="preserve">B_margin_pct</t>
  </si>
  <si>
    <t xml:space="preserve">Scenariul C — T0 + celulă CNC proprie (anodizare externă)</t>
  </si>
  <si>
    <t xml:space="preserve">C_capex</t>
  </si>
  <si>
    <t xml:space="preserve">CAPEX T0 + CNC</t>
  </si>
  <si>
    <t xml:space="preserve">C_rent</t>
  </si>
  <si>
    <t xml:space="preserve">Chirie + servicii (T0 + CNC)</t>
  </si>
  <si>
    <t xml:space="preserve">C_util</t>
  </si>
  <si>
    <t xml:space="preserve">Energie atelier (energia CNC e în costul variabil)</t>
  </si>
  <si>
    <t xml:space="preserve">C_sal</t>
  </si>
  <si>
    <t xml:space="preserve">Salarii (T0 + programator + operatori CNC)</t>
  </si>
  <si>
    <t xml:space="preserve">C_dep</t>
  </si>
  <si>
    <t xml:space="preserve">Amortizare (T0 pe 3 ani, CNC pe 5 ani)</t>
  </si>
  <si>
    <t xml:space="preserve">C_perm</t>
  </si>
  <si>
    <t xml:space="preserve">Permise, asigurări, SSM, deșeuri, mentenanță, CAM</t>
  </si>
  <si>
    <t xml:space="preserve">C_fixed</t>
  </si>
  <si>
    <t xml:space="preserve">C_v_bom</t>
  </si>
  <si>
    <t xml:space="preserve">C_v_pcba</t>
  </si>
  <si>
    <t xml:space="preserve">C_v_shell</t>
  </si>
  <si>
    <t xml:space="preserve">Carcasă în casă (variabil) + anodizare RO</t>
  </si>
  <si>
    <t xml:space="preserve">C_v_laser</t>
  </si>
  <si>
    <t xml:space="preserve">Marcare laser</t>
  </si>
  <si>
    <t xml:space="preserve">C_scrap</t>
  </si>
  <si>
    <t xml:space="preserve">C_vat</t>
  </si>
  <si>
    <t xml:space="preserve">C_var</t>
  </si>
  <si>
    <t xml:space="preserve">C_fix_u</t>
  </si>
  <si>
    <t xml:space="preserve">C_total</t>
  </si>
  <si>
    <t xml:space="preserve">C_nre</t>
  </si>
  <si>
    <t xml:space="preserve">C_total_nre</t>
  </si>
  <si>
    <t xml:space="preserve">C_price</t>
  </si>
  <si>
    <t xml:space="preserve">C_margin</t>
  </si>
  <si>
    <t xml:space="preserve">C_margin_pct</t>
  </si>
  <si>
    <t xml:space="preserve">Scenariul D — T0 + CNC + linie SMT proprie</t>
  </si>
  <si>
    <t xml:space="preserve">D_capex</t>
  </si>
  <si>
    <t xml:space="preserve">CAPEX T0 + CNC + SMT</t>
  </si>
  <si>
    <t xml:space="preserve">D_rent</t>
  </si>
  <si>
    <t xml:space="preserve">D_util</t>
  </si>
  <si>
    <t xml:space="preserve">Energie (atelier + SMT)</t>
  </si>
  <si>
    <t xml:space="preserve">D_sal</t>
  </si>
  <si>
    <t xml:space="preserve">Salarii (C + tehnicieni SMT)</t>
  </si>
  <si>
    <t xml:space="preserve">D_dep</t>
  </si>
  <si>
    <t xml:space="preserve">D_perm</t>
  </si>
  <si>
    <t xml:space="preserve">Permise, asigurări, SSM, deșeuri, mentenanță, CAM, consumabile SMT</t>
  </si>
  <si>
    <t xml:space="preserve">D_fixed</t>
  </si>
  <si>
    <t xml:space="preserve">D_v_bom</t>
  </si>
  <si>
    <t xml:space="preserve">BOM livrat (componentele PCB le cumpărăm noi)</t>
  </si>
  <si>
    <t xml:space="preserve">D_v_pcba</t>
  </si>
  <si>
    <t xml:space="preserve">SMT în casă (variabil)</t>
  </si>
  <si>
    <t xml:space="preserve">D_v_shell</t>
  </si>
  <si>
    <t xml:space="preserve">D_v_laser</t>
  </si>
  <si>
    <t xml:space="preserve">D_scrap</t>
  </si>
  <si>
    <t xml:space="preserve">D_vat</t>
  </si>
  <si>
    <t xml:space="preserve">D_var</t>
  </si>
  <si>
    <t xml:space="preserve">D_fix_u</t>
  </si>
  <si>
    <t xml:space="preserve">D_total</t>
  </si>
  <si>
    <t xml:space="preserve">D_nre</t>
  </si>
  <si>
    <t xml:space="preserve">D_total_nre</t>
  </si>
  <si>
    <t xml:space="preserve">D_price</t>
  </si>
  <si>
    <t xml:space="preserve">D_margin</t>
  </si>
  <si>
    <t xml:space="preserve">D_margin_pct</t>
  </si>
  <si>
    <t xml:space="preserve">BREAK-EVEN: de la ce volum bate producția proprie externalizarea (CNC și SMT)</t>
  </si>
  <si>
    <t xml:space="preserve">Comparație pe proces izolat, cu firma plătitoare de TVA (la aceste volume e obligatoriu). Prețul de cumpărare între volumele din Ipoteze e interpolat logaritmic; peste 20.000 rămâne la valoarea de 20.000. Costul fix propriu crește în trepte (a doua tură, încă o mașină/linie, încă un operator).</t>
  </si>
  <si>
    <t xml:space="preserve">1. Valori pe treptele de volum</t>
  </si>
  <si>
    <t xml:space="preserve">tv</t>
  </si>
  <si>
    <t xml:space="preserve">Volum (treaptă)</t>
  </si>
  <si>
    <t xml:space="preserve">S_buy</t>
  </si>
  <si>
    <t xml:space="preserve">CNC S: carcasă externalizată livrată (€/set)</t>
  </si>
  <si>
    <t xml:space="preserve">S_make</t>
  </si>
  <si>
    <t xml:space="preserve">CNC S: carcasă în casă, variabil (€/set)</t>
  </si>
  <si>
    <t xml:space="preserve">Anodizare per set S</t>
  </si>
  <si>
    <t xml:space="preserve">Mc_buy</t>
  </si>
  <si>
    <t xml:space="preserve">CNC M (comparație): carcasă externalizată livrată (€/set)</t>
  </si>
  <si>
    <t xml:space="preserve">Mc_make</t>
  </si>
  <si>
    <t xml:space="preserve">CNC M (comparație): carcasă în casă, variabil (€/set)</t>
  </si>
  <si>
    <t xml:space="preserve">ems</t>
  </si>
  <si>
    <t xml:space="preserve">SMT: PCBA la EMS România (€/placă)</t>
  </si>
  <si>
    <t xml:space="preserve">jlc</t>
  </si>
  <si>
    <t xml:space="preserve">SMT: PCBA la JLCPCB livrat (€/placă)</t>
  </si>
  <si>
    <t xml:space="preserve">SMT: în casă, variabil (€/placă)</t>
  </si>
  <si>
    <t xml:space="preserve">2. Costuri fixe de bază (o mașină / o linie, un schimb)</t>
  </si>
  <si>
    <t xml:space="preserve">mach</t>
  </si>
  <si>
    <t xml:space="preserve">Mașină CNC instalată</t>
  </si>
  <si>
    <t xml:space="preserve">Echipamente comune CNC</t>
  </si>
  <si>
    <t xml:space="preserve">emp_over</t>
  </si>
  <si>
    <t xml:space="preserve">Cost SSM + medicina muncii + salarizare per angajat suplimentar / an</t>
  </si>
  <si>
    <t xml:space="preserve">op_prog</t>
  </si>
  <si>
    <t xml:space="preserve">Programator CNC, cost anual</t>
  </si>
  <si>
    <t xml:space="preserve">op_cnc</t>
  </si>
  <si>
    <t xml:space="preserve">Operator CNC, cost anual</t>
  </si>
  <si>
    <t xml:space="preserve">space_cost</t>
  </si>
  <si>
    <t xml:space="preserve">Chirie + servicii per m² / an</t>
  </si>
  <si>
    <t xml:space="preserve">capS</t>
  </si>
  <si>
    <t xml:space="preserve">Capacitate CNC S: seturi / mașină / schimb / an</t>
  </si>
  <si>
    <t xml:space="preserve">capMc</t>
  </si>
  <si>
    <t xml:space="preserve">Capacitate CNC M (comparație): seturi / mașină / schimb / an</t>
  </si>
  <si>
    <t xml:space="preserve">smt_line</t>
  </si>
  <si>
    <t xml:space="preserve">Capex linie SMT</t>
  </si>
  <si>
    <t xml:space="preserve">tech</t>
  </si>
  <si>
    <t xml:space="preserve">Tehnician SMT, cost anual</t>
  </si>
  <si>
    <t xml:space="preserve">F_cnc1</t>
  </si>
  <si>
    <t xml:space="preserve">Cost fix anual celulă CNC (1 mașină, 1 schimb, 1 programator)</t>
  </si>
  <si>
    <t xml:space="preserve">F_smt1</t>
  </si>
  <si>
    <t xml:space="preserve">Cost fix anual linie SMT (1 linie, 1 schimb, 1 tehnician)</t>
  </si>
  <si>
    <t xml:space="preserve">3. Break-even analitic pe trepte (o mașină / o linie, un schimb): N* = cost fix / (preț cumpărare − variabil propriu)</t>
  </si>
  <si>
    <t xml:space="preserve">be_S</t>
  </si>
  <si>
    <t xml:space="preserve">CNC S: volum de break-even (seturi/an)</t>
  </si>
  <si>
    <t xml:space="preserve">be_S_ok</t>
  </si>
  <si>
    <t xml:space="preserve">… încape într-o mașină pe un schimb? (1 = da)</t>
  </si>
  <si>
    <t xml:space="preserve">be_Mc</t>
  </si>
  <si>
    <t xml:space="preserve">CNC M (comparație): volum de break-even (seturi/an)</t>
  </si>
  <si>
    <t xml:space="preserve">be_Mc_ok</t>
  </si>
  <si>
    <t xml:space="preserve">be_ems</t>
  </si>
  <si>
    <t xml:space="preserve">SMT vs EMS România: volum de break-even (plăci/an)</t>
  </si>
  <si>
    <t xml:space="preserve">be_jlc</t>
  </si>
  <si>
    <t xml:space="preserve">SMT vs JLCPCB: volum de break-even (plăci/an)</t>
  </si>
  <si>
    <t xml:space="preserve">4. Grilă CNC mărimea S (Haas VF-2 nou; anodizare externă în ambele variante)</t>
  </si>
  <si>
    <t xml:space="preserve">Volum (seturi/an)</t>
  </si>
  <si>
    <t xml:space="preserve">Treaptă</t>
  </si>
  <si>
    <t xml:space="preserve">Cumpărat €/set</t>
  </si>
  <si>
    <t xml:space="preserve">Cumpărat €/an</t>
  </si>
  <si>
    <t xml:space="preserve">Mașini</t>
  </si>
  <si>
    <t xml:space="preserve">Schimburi</t>
  </si>
  <si>
    <t xml:space="preserve">Operatori</t>
  </si>
  <si>
    <t xml:space="preserve">Fix propriu €/an</t>
  </si>
  <si>
    <t xml:space="preserve">Variabil propriu €/set</t>
  </si>
  <si>
    <t xml:space="preserve">Propriu €/an</t>
  </si>
  <si>
    <t xml:space="preserve">Propriu €/set</t>
  </si>
  <si>
    <t xml:space="preserve">Economie €/an</t>
  </si>
  <si>
    <t xml:space="preserve">Propriu mai ieftin?</t>
  </si>
  <si>
    <t xml:space="preserve">Primul volum din grilă la care producția proprie e mai ieftină</t>
  </si>
  <si>
    <t xml:space="preserve">Volume din grilă unde e mai ieftin (număr din 13)</t>
  </si>
  <si>
    <t xml:space="preserve">5. Grilă CNC mărimea M, prototipul (comparație: ciclu 45 min, 1,0 kg, preț extern ×1,54)</t>
  </si>
  <si>
    <t xml:space="preserve">6. Grilă SMT (linie NeoDen4 + AOI) vs EMS România și vs JLCPCB</t>
  </si>
  <si>
    <t xml:space="preserve">Volum (plăci/an)</t>
  </si>
  <si>
    <t xml:space="preserve">EMS RO €/placă</t>
  </si>
  <si>
    <t xml:space="preserve">JLC €/placă</t>
  </si>
  <si>
    <t xml:space="preserve">Linii</t>
  </si>
  <si>
    <t xml:space="preserve">Tehnicieni</t>
  </si>
  <si>
    <t xml:space="preserve">Variabil propriu €/placă</t>
  </si>
  <si>
    <t xml:space="preserve">Propriu €/placă</t>
  </si>
  <si>
    <t xml:space="preserve">EMS €/an</t>
  </si>
  <si>
    <t xml:space="preserve">JLC €/an</t>
  </si>
  <si>
    <t xml:space="preserve">Bate EMS?</t>
  </si>
  <si>
    <t xml:space="preserve">Bate JLC?</t>
  </si>
  <si>
    <t xml:space="preserve">Primul volum la care SMT propriu bate EMS România</t>
  </si>
  <si>
    <t xml:space="preserve">Primul volum la care SMT propriu bate JLCPCB</t>
  </si>
  <si>
    <t xml:space="preserve">Volume din grilă unde SMT propriu bate EMS (număr din 13)</t>
  </si>
  <si>
    <t xml:space="preserve">Volume din grilă unde SMT propriu bate JLCPCB (număr din 13)</t>
  </si>
  <si>
    <t xml:space="preserve">CAPACITATE: unități pe schimb per stație, necesar de stații și gâtuirea liniei</t>
  </si>
  <si>
    <t xml:space="preserve">Unități/schimb = minute productive pe schimb × posturi paralele / timp ciclu. Necesar = volum / (capacitate anuală pe 1 schimb × utilizare țintă), rotunjit în sus. Pentru CNC și SMT necesarul vine din Scenarii (cu 2 schimburi înainte de a cumpăra încă o mașină).</t>
  </si>
  <si>
    <t xml:space="preserve">Stație</t>
  </si>
  <si>
    <t xml:space="preserve">Timp ciclu (min)</t>
  </si>
  <si>
    <t xml:space="preserve">Posturi paralele</t>
  </si>
  <si>
    <t xml:space="preserve">Unități / schimb</t>
  </si>
  <si>
    <t xml:space="preserve">Unități / an (1 schimb)</t>
  </si>
  <si>
    <t xml:space="preserve">Necesar @100</t>
  </si>
  <si>
    <t xml:space="preserve">Necesar @1.000</t>
  </si>
  <si>
    <t xml:space="preserve">Necesar @5.000</t>
  </si>
  <si>
    <t xml:space="preserve">Necesar @20.000</t>
  </si>
  <si>
    <t xml:space="preserve">Utilizare @20.000</t>
  </si>
  <si>
    <t xml:space="preserve">Notă</t>
  </si>
  <si>
    <t xml:space="preserve">Banc asamblare (1 operator)</t>
  </si>
  <si>
    <t xml:space="preserve">Ciclul = manopera totală la 1.000 buc./an; necesarul folosește minutele per volum (Ipoteze 4). Gâtuirea reală a T0 = oamenii.</t>
  </si>
  <si>
    <t xml:space="preserve">Stație flash</t>
  </si>
  <si>
    <t xml:space="preserve">Espressif Flash Download Tool, mod Factory</t>
  </si>
  <si>
    <t xml:space="preserve">Jig test funcțional</t>
  </si>
  <si>
    <t xml:space="preserve">Fixturfab; cutie ecranată pentru RSSI</t>
  </si>
  <si>
    <t xml:space="preserve">Raft rodaj (burn-in)</t>
  </si>
  <si>
    <t xml:space="preserve">Nesupravegheat</t>
  </si>
  <si>
    <t xml:space="preserve">Laser MOPA marcare</t>
  </si>
  <si>
    <t xml:space="preserve">Serie + CE/WEEE după anodizare</t>
  </si>
  <si>
    <t xml:space="preserve">CNC mărimea S (1 mașină)</t>
  </si>
  <si>
    <t xml:space="preserve">Necesar = mașini (cu până la 2 schimburi). Gâtuirea scenariilor C/D.</t>
  </si>
  <si>
    <t xml:space="preserve">CNC mărimea M, comparație (1 mașină)</t>
  </si>
  <si>
    <t xml:space="preserve">Comparație M: ciclu de ~1,9× mai lung → ~0,53× seturi pe mașină</t>
  </si>
  <si>
    <t xml:space="preserve">Linie SMT (NeoDen4 + reflow + AOI)</t>
  </si>
  <si>
    <t xml:space="preserve">Reflow-ul NeoDen IN6 nu e gâtuire la aceste volume</t>
  </si>
  <si>
    <t xml:space="preserve">Gâtuirea T0 (stația cu cele mai puține unități/schimb)</t>
  </si>
  <si>
    <t xml:space="preserve">Gâtuirea scenariilor C/D (unități/schimb)</t>
  </si>
  <si>
    <t xml:space="preserve">Personal necesar (persoane)</t>
  </si>
  <si>
    <t xml:space="preserve">Scenariul B (operatori + QC + gestionar)</t>
  </si>
  <si>
    <t xml:space="preserve">Scenariul C (+ CNC)</t>
  </si>
  <si>
    <t xml:space="preserve">Scenariul D (+ SMT)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</si>
</sst>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buc/an&quot;"/>
    <numFmt numFmtId="166" formatCode="#,##0.00&quot; €&quot;;\-#,##0.00&quot; €&quot;;\-"/>
    <numFmt numFmtId="167" formatCode="#,##0&quot; €&quot;;\-#,##0&quot; €&quot;;\-"/>
    <numFmt numFmtId="168" formatCode="#,##0;\-#,##0;\-"/>
    <numFmt numFmtId="169" formatCode="#,##0.0;\-#,##0.0;\-"/>
    <numFmt numFmtId="170" formatCode="#,##0.00;\-#,##0.00;\-"/>
    <numFmt numFmtId="171" formatCode="0.0%;\-0.0%;\-"/>
    <numFmt numFmtId="172" formatCode="\$#,##0.00"/>
    <numFmt numFmtId="173" formatCode="0.0000"/>
    <numFmt numFmtId="174" formatCode="#,##0&quot; lei&quot;"/>
    <numFmt numFmtId="175" formatCode="#,##0&quot; buc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8EEF4"/>
      </patternFill>
    </fill>
    <fill>
      <patternFill patternType="solid">
        <fgColor rgb="FFE8EEF4"/>
        <bgColor rgb="FFFFFFFF"/>
      </patternFill>
    </fill>
    <fill>
      <patternFill patternType="solid">
        <fgColor rgb="FF2F4F6F"/>
        <bgColor rgb="FF555555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23.8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6" min="3" style="0" width="15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5" t="s">
        <v>25</v>
      </c>
    </row>
    <row r="2" customFormat="false" ht="30" hidden="false" customHeight="true" outlineLevel="0" collapsed="false">
      <c r="A2" s="6" t="s">
        <v>26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B4" s="7" t="s">
        <v>27</v>
      </c>
      <c r="C4" s="8" t="n">
        <f aca="false">Scenarii!C7</f>
        <v>100</v>
      </c>
      <c r="D4" s="8" t="n">
        <f aca="false">Scenarii!D7</f>
        <v>1000</v>
      </c>
      <c r="E4" s="8" t="n">
        <f aca="false">Scenarii!E7</f>
        <v>5000</v>
      </c>
      <c r="F4" s="8" t="n">
        <f aca="false">Scenarii!F7</f>
        <v>20000</v>
      </c>
    </row>
    <row r="5" customFormat="false" ht="15" hidden="false" customHeight="false" outlineLevel="0" collapsed="false">
      <c r="A5" s="9" t="s">
        <v>28</v>
      </c>
      <c r="B5" s="9" t="s">
        <v>29</v>
      </c>
      <c r="C5" s="10" t="n">
        <f aca="false">Scenarii!C75</f>
        <v>224.829587009111</v>
      </c>
      <c r="D5" s="10" t="n">
        <f aca="false">Scenarii!D75</f>
        <v>97.4612100122309</v>
      </c>
      <c r="E5" s="10" t="n">
        <f aca="false">Scenarii!E75</f>
        <v>70.7923635684976</v>
      </c>
      <c r="F5" s="10" t="n">
        <f aca="false">Scenarii!F75</f>
        <v>57.9532742750976</v>
      </c>
    </row>
    <row r="6" customFormat="false" ht="15" hidden="false" customHeight="false" outlineLevel="0" collapsed="false">
      <c r="A6" s="9" t="s">
        <v>30</v>
      </c>
      <c r="B6" s="9" t="s">
        <v>31</v>
      </c>
      <c r="C6" s="10" t="n">
        <f aca="false">Scenarii!C98</f>
        <v>255.899540925437</v>
      </c>
      <c r="D6" s="10" t="n">
        <f aca="false">Scenarii!D98</f>
        <v>104.005525205688</v>
      </c>
      <c r="E6" s="10" t="n">
        <f aca="false">Scenarii!E98</f>
        <v>73.1918651622902</v>
      </c>
      <c r="F6" s="10" t="n">
        <f aca="false">Scenarii!F98</f>
        <v>55.1722474375177</v>
      </c>
    </row>
    <row r="7" customFormat="false" ht="15" hidden="false" customHeight="false" outlineLevel="0" collapsed="false">
      <c r="A7" s="9" t="s">
        <v>32</v>
      </c>
      <c r="B7" s="9" t="s">
        <v>33</v>
      </c>
      <c r="C7" s="10" t="n">
        <f aca="false">Scenarii!C121</f>
        <v>804.885667784613</v>
      </c>
      <c r="D7" s="10" t="n">
        <f aca="false">Scenarii!D121</f>
        <v>137.871484646019</v>
      </c>
      <c r="E7" s="10" t="n">
        <f aca="false">Scenarii!E121</f>
        <v>71.7998958945424</v>
      </c>
      <c r="F7" s="10" t="n">
        <f aca="false">Scenarii!F121</f>
        <v>51.0952382079659</v>
      </c>
    </row>
    <row r="8" customFormat="false" ht="15" hidden="false" customHeight="false" outlineLevel="0" collapsed="false">
      <c r="A8" s="9" t="s">
        <v>34</v>
      </c>
      <c r="B8" s="9" t="s">
        <v>35</v>
      </c>
      <c r="C8" s="10" t="n">
        <f aca="false">Scenarii!C144</f>
        <v>1123.42024547873</v>
      </c>
      <c r="D8" s="10" t="n">
        <f aca="false">Scenarii!D144</f>
        <v>163.38697306543</v>
      </c>
      <c r="E8" s="10" t="n">
        <f aca="false">Scenarii!E144</f>
        <v>75.4072296192482</v>
      </c>
      <c r="F8" s="10" t="n">
        <f aca="false">Scenarii!F144</f>
        <v>51.0137380597306</v>
      </c>
    </row>
    <row r="9" customFormat="false" ht="15" hidden="false" customHeight="false" outlineLevel="0" collapsed="false">
      <c r="B9" s="11" t="s">
        <v>36</v>
      </c>
      <c r="C9" s="12" t="str">
        <f aca="false">INDEX($A$5:$A$8,MATCH(MIN(C5:C8),C5:C8,0))</f>
        <v>A</v>
      </c>
      <c r="D9" s="12" t="str">
        <f aca="false">INDEX($A$5:$A$8,MATCH(MIN(D5:D8),D5:D8,0))</f>
        <v>A</v>
      </c>
      <c r="E9" s="12" t="str">
        <f aca="false">INDEX($A$5:$A$8,MATCH(MIN(E5:E8),E5:E8,0))</f>
        <v>A</v>
      </c>
      <c r="F9" s="12" t="str">
        <f aca="false">INDEX($A$5:$A$8,MATCH(MIN(F5:F8),F5:F8,0))</f>
        <v>D</v>
      </c>
    </row>
    <row r="11" customFormat="false" ht="15" hidden="false" customHeight="false" outlineLevel="0" collapsed="false">
      <c r="B11" s="7" t="s">
        <v>37</v>
      </c>
      <c r="C11" s="8" t="n">
        <f aca="false">Scenarii!C7</f>
        <v>100</v>
      </c>
      <c r="D11" s="8" t="n">
        <f aca="false">Scenarii!D7</f>
        <v>1000</v>
      </c>
      <c r="E11" s="8" t="n">
        <f aca="false">Scenarii!E7</f>
        <v>5000</v>
      </c>
      <c r="F11" s="8" t="n">
        <f aca="false">Scenarii!F7</f>
        <v>20000</v>
      </c>
    </row>
    <row r="12" customFormat="false" ht="15" hidden="false" customHeight="false" outlineLevel="0" collapsed="false">
      <c r="A12" s="9" t="s">
        <v>28</v>
      </c>
      <c r="B12" s="9" t="s">
        <v>29</v>
      </c>
      <c r="C12" s="10" t="n">
        <f aca="false">Scenarii!C77</f>
        <v>253.829587009111</v>
      </c>
      <c r="D12" s="10" t="n">
        <f aca="false">Scenarii!D77</f>
        <v>108.552876678898</v>
      </c>
      <c r="E12" s="10" t="n">
        <f aca="false">Scenarii!E77</f>
        <v>73.8973635684976</v>
      </c>
      <c r="F12" s="10" t="n">
        <f aca="false">Scenarii!F77</f>
        <v>58.7295242750976</v>
      </c>
    </row>
    <row r="13" customFormat="false" ht="15" hidden="false" customHeight="false" outlineLevel="0" collapsed="false">
      <c r="A13" s="9" t="s">
        <v>30</v>
      </c>
      <c r="B13" s="9" t="s">
        <v>31</v>
      </c>
      <c r="C13" s="10" t="n">
        <f aca="false">Scenarii!C100</f>
        <v>284.899540925437</v>
      </c>
      <c r="D13" s="10" t="n">
        <f aca="false">Scenarii!D100</f>
        <v>115.097191872355</v>
      </c>
      <c r="E13" s="10" t="n">
        <f aca="false">Scenarii!E100</f>
        <v>76.2968651622902</v>
      </c>
      <c r="F13" s="10" t="n">
        <f aca="false">Scenarii!F100</f>
        <v>55.9484974375176</v>
      </c>
    </row>
    <row r="14" customFormat="false" ht="15" hidden="false" customHeight="false" outlineLevel="0" collapsed="false">
      <c r="A14" s="9" t="s">
        <v>32</v>
      </c>
      <c r="B14" s="9" t="s">
        <v>33</v>
      </c>
      <c r="C14" s="10" t="n">
        <f aca="false">Scenarii!C123</f>
        <v>833.885667784613</v>
      </c>
      <c r="D14" s="10" t="n">
        <f aca="false">Scenarii!D123</f>
        <v>148.963151312685</v>
      </c>
      <c r="E14" s="10" t="n">
        <f aca="false">Scenarii!E123</f>
        <v>74.9048958945424</v>
      </c>
      <c r="F14" s="10" t="n">
        <f aca="false">Scenarii!F123</f>
        <v>51.8714882079659</v>
      </c>
    </row>
    <row r="15" customFormat="false" ht="15" hidden="false" customHeight="false" outlineLevel="0" collapsed="false">
      <c r="A15" s="9" t="s">
        <v>34</v>
      </c>
      <c r="B15" s="9" t="s">
        <v>35</v>
      </c>
      <c r="C15" s="10" t="n">
        <f aca="false">Scenarii!C146</f>
        <v>1152.42024547873</v>
      </c>
      <c r="D15" s="10" t="n">
        <f aca="false">Scenarii!D146</f>
        <v>174.478639732097</v>
      </c>
      <c r="E15" s="10" t="n">
        <f aca="false">Scenarii!E146</f>
        <v>78.5122296192482</v>
      </c>
      <c r="F15" s="10" t="n">
        <f aca="false">Scenarii!F146</f>
        <v>51.7899880597306</v>
      </c>
    </row>
    <row r="16" customFormat="false" ht="15" hidden="false" customHeight="false" outlineLevel="0" collapsed="false">
      <c r="B16" s="11" t="s">
        <v>36</v>
      </c>
      <c r="C16" s="12" t="str">
        <f aca="false">INDEX($A$12:$A$15,MATCH(MIN(C12:C15),C12:C15,0))</f>
        <v>A</v>
      </c>
      <c r="D16" s="12" t="str">
        <f aca="false">INDEX($A$12:$A$15,MATCH(MIN(D12:D15),D12:D15,0))</f>
        <v>A</v>
      </c>
      <c r="E16" s="12" t="str">
        <f aca="false">INDEX($A$12:$A$15,MATCH(MIN(E12:E15),E12:E15,0))</f>
        <v>A</v>
      </c>
      <c r="F16" s="12" t="str">
        <f aca="false">INDEX($A$12:$A$15,MATCH(MIN(F12:F15),F12:F15,0))</f>
        <v>D</v>
      </c>
    </row>
    <row r="18" customFormat="false" ht="15" hidden="false" customHeight="false" outlineLevel="0" collapsed="false">
      <c r="B18" s="7" t="s">
        <v>38</v>
      </c>
      <c r="C18" s="8" t="n">
        <f aca="false">Scenarii!C7</f>
        <v>100</v>
      </c>
      <c r="D18" s="8" t="n">
        <f aca="false">Scenarii!D7</f>
        <v>1000</v>
      </c>
      <c r="E18" s="8" t="n">
        <f aca="false">Scenarii!E7</f>
        <v>5000</v>
      </c>
      <c r="F18" s="8" t="n">
        <f aca="false">Scenarii!F7</f>
        <v>20000</v>
      </c>
    </row>
    <row r="19" customFormat="false" ht="15" hidden="false" customHeight="false" outlineLevel="0" collapsed="false">
      <c r="A19" s="9" t="s">
        <v>28</v>
      </c>
      <c r="B19" s="9" t="s">
        <v>29</v>
      </c>
      <c r="C19" s="10" t="n">
        <f aca="false">Scenarii!C73</f>
        <v>201.710229342444</v>
      </c>
      <c r="D19" s="10" t="n">
        <f aca="false">Scenarii!D73</f>
        <v>93.5488333455643</v>
      </c>
      <c r="E19" s="10" t="n">
        <f aca="false">Scenarii!E73</f>
        <v>70.0098882351643</v>
      </c>
      <c r="F19" s="10" t="n">
        <f aca="false">Scenarii!F73</f>
        <v>57.6503699417643</v>
      </c>
    </row>
    <row r="20" customFormat="false" ht="15" hidden="false" customHeight="false" outlineLevel="0" collapsed="false">
      <c r="A20" s="9" t="s">
        <v>30</v>
      </c>
      <c r="B20" s="9" t="s">
        <v>31</v>
      </c>
      <c r="C20" s="10" t="n">
        <f aca="false">Scenarii!C96</f>
        <v>182.95715054408</v>
      </c>
      <c r="D20" s="10" t="n">
        <f aca="false">Scenarii!D96</f>
        <v>81.7457545472</v>
      </c>
      <c r="E20" s="10" t="n">
        <f aca="false">Scenarii!E96</f>
        <v>60.6068094368</v>
      </c>
      <c r="F20" s="10" t="n">
        <f aca="false">Scenarii!F96</f>
        <v>49.4472911434</v>
      </c>
    </row>
    <row r="21" customFormat="false" ht="15" hidden="false" customHeight="false" outlineLevel="0" collapsed="false">
      <c r="A21" s="9" t="s">
        <v>32</v>
      </c>
      <c r="B21" s="9" t="s">
        <v>33</v>
      </c>
      <c r="C21" s="10" t="n">
        <f aca="false">Scenarii!C119</f>
        <v>106.60504286208</v>
      </c>
      <c r="D21" s="10" t="n">
        <f aca="false">Scenarii!D119</f>
        <v>58.8047945875306</v>
      </c>
      <c r="E21" s="10" t="n">
        <f aca="false">Scenarii!E119</f>
        <v>44.9389464851306</v>
      </c>
      <c r="F21" s="10" t="n">
        <f aca="false">Scenarii!F119</f>
        <v>37.8769687097306</v>
      </c>
    </row>
    <row r="22" customFormat="false" ht="15" hidden="false" customHeight="false" outlineLevel="0" collapsed="false">
      <c r="A22" s="9" t="s">
        <v>34</v>
      </c>
      <c r="B22" s="9" t="s">
        <v>35</v>
      </c>
      <c r="C22" s="10" t="n">
        <f aca="false">Scenarii!C142</f>
        <v>106.60504286208</v>
      </c>
      <c r="D22" s="10" t="n">
        <f aca="false">Scenarii!D142</f>
        <v>55.0152628775306</v>
      </c>
      <c r="E22" s="10" t="n">
        <f aca="false">Scenarii!E142</f>
        <v>42.6796291251306</v>
      </c>
      <c r="F22" s="10" t="n">
        <f aca="false">Scenarii!F142</f>
        <v>36.3276293197306</v>
      </c>
    </row>
    <row r="24" customFormat="false" ht="15" hidden="false" customHeight="false" outlineLevel="0" collapsed="false">
      <c r="B24" s="7" t="s">
        <v>39</v>
      </c>
      <c r="C24" s="8" t="n">
        <f aca="false">Scenarii!C7</f>
        <v>100</v>
      </c>
      <c r="D24" s="8" t="n">
        <f aca="false">Scenarii!D7</f>
        <v>1000</v>
      </c>
      <c r="E24" s="8" t="n">
        <f aca="false">Scenarii!E7</f>
        <v>5000</v>
      </c>
      <c r="F24" s="8" t="n">
        <f aca="false">Scenarii!F7</f>
        <v>20000</v>
      </c>
    </row>
    <row r="25" customFormat="false" ht="15" hidden="false" customHeight="false" outlineLevel="0" collapsed="false">
      <c r="A25" s="9" t="s">
        <v>28</v>
      </c>
      <c r="B25" s="9" t="s">
        <v>29</v>
      </c>
      <c r="C25" s="13" t="n">
        <f aca="false">Scenarii!C59</f>
        <v>2135.8073</v>
      </c>
      <c r="D25" s="13" t="n">
        <f aca="false">Scenarii!D59</f>
        <v>6937.13</v>
      </c>
      <c r="E25" s="13" t="n">
        <f aca="false">Scenarii!E59</f>
        <v>6937.13</v>
      </c>
      <c r="F25" s="13" t="n">
        <f aca="false">Scenarii!F59</f>
        <v>13374.26</v>
      </c>
    </row>
    <row r="26" customFormat="false" ht="15" hidden="false" customHeight="false" outlineLevel="0" collapsed="false">
      <c r="A26" s="9" t="s">
        <v>30</v>
      </c>
      <c r="B26" s="9" t="s">
        <v>31</v>
      </c>
      <c r="C26" s="13" t="n">
        <f aca="false">Scenarii!C83</f>
        <v>10236.7573</v>
      </c>
      <c r="D26" s="13" t="n">
        <f aca="false">Scenarii!D83</f>
        <v>23361.13</v>
      </c>
      <c r="E26" s="13" t="n">
        <f aca="false">Scenarii!E83</f>
        <v>26356.13</v>
      </c>
      <c r="F26" s="13" t="n">
        <f aca="false">Scenarii!F83</f>
        <v>38783.26</v>
      </c>
    </row>
    <row r="27" customFormat="false" ht="15" hidden="false" customHeight="false" outlineLevel="0" collapsed="false">
      <c r="A27" s="9" t="s">
        <v>32</v>
      </c>
      <c r="B27" s="9" t="s">
        <v>33</v>
      </c>
      <c r="C27" s="13" t="n">
        <f aca="false">Scenarii!C106</f>
        <v>136312.536001961</v>
      </c>
      <c r="D27" s="13" t="n">
        <f aca="false">Scenarii!D106</f>
        <v>127555.988431373</v>
      </c>
      <c r="E27" s="13" t="n">
        <f aca="false">Scenarii!E106</f>
        <v>130550.988431373</v>
      </c>
      <c r="F27" s="13" t="n">
        <f aca="false">Scenarii!F106</f>
        <v>326215.678431373</v>
      </c>
    </row>
    <row r="28" customFormat="false" ht="15" hidden="false" customHeight="false" outlineLevel="0" collapsed="false">
      <c r="A28" s="9" t="s">
        <v>34</v>
      </c>
      <c r="B28" s="9" t="s">
        <v>35</v>
      </c>
      <c r="C28" s="13" t="n">
        <f aca="false">Scenarii!C129</f>
        <v>180441.744201961</v>
      </c>
      <c r="D28" s="13" t="n">
        <f aca="false">Scenarii!D129</f>
        <v>164026.408431373</v>
      </c>
      <c r="E28" s="13" t="n">
        <f aca="false">Scenarii!E129</f>
        <v>167021.408431373</v>
      </c>
      <c r="F28" s="13" t="n">
        <f aca="false">Scenarii!F129</f>
        <v>362686.098431373</v>
      </c>
    </row>
    <row r="30" customFormat="false" ht="15" hidden="false" customHeight="false" outlineLevel="0" collapsed="false">
      <c r="B30" s="7" t="s">
        <v>40</v>
      </c>
      <c r="C30" s="8" t="n">
        <f aca="false">Scenarii!C7</f>
        <v>100</v>
      </c>
      <c r="D30" s="8" t="n">
        <f aca="false">Scenarii!D7</f>
        <v>1000</v>
      </c>
      <c r="E30" s="8" t="n">
        <f aca="false">Scenarii!E7</f>
        <v>5000</v>
      </c>
      <c r="F30" s="8" t="n">
        <f aca="false">Scenarii!F7</f>
        <v>20000</v>
      </c>
    </row>
    <row r="31" customFormat="false" ht="15" hidden="false" customHeight="false" outlineLevel="0" collapsed="false">
      <c r="A31" s="9" t="s">
        <v>28</v>
      </c>
      <c r="B31" s="9" t="s">
        <v>29</v>
      </c>
      <c r="C31" s="13" t="n">
        <f aca="false">Scenarii!C64</f>
        <v>2311.93576666667</v>
      </c>
      <c r="D31" s="13" t="n">
        <f aca="false">Scenarii!D64</f>
        <v>3912.37666666667</v>
      </c>
      <c r="E31" s="13" t="n">
        <f aca="false">Scenarii!E64</f>
        <v>3912.37666666667</v>
      </c>
      <c r="F31" s="13" t="n">
        <f aca="false">Scenarii!F64</f>
        <v>6058.08666666667</v>
      </c>
    </row>
    <row r="32" customFormat="false" ht="15" hidden="false" customHeight="false" outlineLevel="0" collapsed="false">
      <c r="A32" s="9" t="s">
        <v>30</v>
      </c>
      <c r="B32" s="9" t="s">
        <v>31</v>
      </c>
      <c r="C32" s="13" t="n">
        <f aca="false">Scenarii!C89</f>
        <v>7294.23903813568</v>
      </c>
      <c r="D32" s="13" t="n">
        <f aca="false">Scenarii!D89</f>
        <v>22259.770658488</v>
      </c>
      <c r="E32" s="13" t="n">
        <f aca="false">Scenarii!E89</f>
        <v>62925.278627451</v>
      </c>
      <c r="F32" s="13" t="n">
        <f aca="false">Scenarii!F89</f>
        <v>114499.125882353</v>
      </c>
    </row>
    <row r="33" customFormat="false" ht="15" hidden="false" customHeight="false" outlineLevel="0" collapsed="false">
      <c r="A33" s="9" t="s">
        <v>32</v>
      </c>
      <c r="B33" s="9" t="s">
        <v>33</v>
      </c>
      <c r="C33" s="13" t="n">
        <f aca="false">Scenarii!C112</f>
        <v>69828.0624922533</v>
      </c>
      <c r="D33" s="13" t="n">
        <f aca="false">Scenarii!D112</f>
        <v>79066.690058488</v>
      </c>
      <c r="E33" s="13" t="n">
        <f aca="false">Scenarii!E112</f>
        <v>134304.747047059</v>
      </c>
      <c r="F33" s="13" t="n">
        <f aca="false">Scenarii!F112</f>
        <v>264365.389964706</v>
      </c>
    </row>
    <row r="34" customFormat="false" ht="15" hidden="false" customHeight="false" outlineLevel="0" collapsed="false">
      <c r="A34" s="9" t="s">
        <v>34</v>
      </c>
      <c r="B34" s="9" t="s">
        <v>35</v>
      </c>
      <c r="C34" s="13" t="n">
        <f aca="false">Scenarii!C135</f>
        <v>101681.520261665</v>
      </c>
      <c r="D34" s="13" t="n">
        <f aca="false">Scenarii!D135</f>
        <v>108371.7101879</v>
      </c>
      <c r="E34" s="13" t="n">
        <f aca="false">Scenarii!E135</f>
        <v>163638.002470588</v>
      </c>
      <c r="F34" s="13" t="n">
        <f aca="false">Scenarii!F135</f>
        <v>293722.1748</v>
      </c>
    </row>
    <row r="36" customFormat="false" ht="15" hidden="false" customHeight="false" outlineLevel="0" collapsed="false">
      <c r="B36" s="7" t="s">
        <v>41</v>
      </c>
      <c r="C36" s="8" t="n">
        <f aca="false">Scenarii!C7</f>
        <v>100</v>
      </c>
      <c r="D36" s="8" t="n">
        <f aca="false">Scenarii!D7</f>
        <v>1000</v>
      </c>
      <c r="E36" s="8" t="n">
        <f aca="false">Scenarii!E7</f>
        <v>5000</v>
      </c>
      <c r="F36" s="8" t="n">
        <f aca="false">Scenarii!F7</f>
        <v>20000</v>
      </c>
    </row>
    <row r="37" customFormat="false" ht="15" hidden="false" customHeight="false" outlineLevel="0" collapsed="false">
      <c r="A37" s="9" t="s">
        <v>28</v>
      </c>
      <c r="B37" s="9" t="s">
        <v>29</v>
      </c>
      <c r="C37" s="10" t="n">
        <f aca="false">Scenarii!C79</f>
        <v>-4.82958700911095</v>
      </c>
      <c r="D37" s="10" t="n">
        <f aca="false">Scenarii!D79</f>
        <v>97.2322472880446</v>
      </c>
      <c r="E37" s="10" t="n">
        <f aca="false">Scenarii!E79</f>
        <v>131.887760398445</v>
      </c>
      <c r="F37" s="10" t="n">
        <f aca="false">Scenarii!F79</f>
        <v>147.055599691845</v>
      </c>
    </row>
    <row r="38" customFormat="false" ht="15" hidden="false" customHeight="false" outlineLevel="0" collapsed="false">
      <c r="A38" s="9" t="s">
        <v>30</v>
      </c>
      <c r="B38" s="9" t="s">
        <v>31</v>
      </c>
      <c r="C38" s="10" t="n">
        <f aca="false">Scenarii!C102</f>
        <v>-35.8995409254368</v>
      </c>
      <c r="D38" s="10" t="n">
        <f aca="false">Scenarii!D102</f>
        <v>90.6879320945875</v>
      </c>
      <c r="E38" s="10" t="n">
        <f aca="false">Scenarii!E102</f>
        <v>129.488258804652</v>
      </c>
      <c r="F38" s="10" t="n">
        <f aca="false">Scenarii!F102</f>
        <v>149.836626529425</v>
      </c>
    </row>
    <row r="39" customFormat="false" ht="15" hidden="false" customHeight="false" outlineLevel="0" collapsed="false">
      <c r="A39" s="9" t="s">
        <v>32</v>
      </c>
      <c r="B39" s="9" t="s">
        <v>33</v>
      </c>
      <c r="C39" s="10" t="n">
        <f aca="false">Scenarii!C125</f>
        <v>-584.885667784613</v>
      </c>
      <c r="D39" s="10" t="n">
        <f aca="false">Scenarii!D125</f>
        <v>56.8219726542569</v>
      </c>
      <c r="E39" s="10" t="n">
        <f aca="false">Scenarii!E125</f>
        <v>130.8802280724</v>
      </c>
      <c r="F39" s="10" t="n">
        <f aca="false">Scenarii!F125</f>
        <v>153.913635758976</v>
      </c>
    </row>
    <row r="40" customFormat="false" ht="15" hidden="false" customHeight="false" outlineLevel="0" collapsed="false">
      <c r="A40" s="9" t="s">
        <v>34</v>
      </c>
      <c r="B40" s="9" t="s">
        <v>35</v>
      </c>
      <c r="C40" s="10" t="n">
        <f aca="false">Scenarii!C148</f>
        <v>-903.420245478731</v>
      </c>
      <c r="D40" s="10" t="n">
        <f aca="false">Scenarii!D148</f>
        <v>31.3064842348451</v>
      </c>
      <c r="E40" s="10" t="n">
        <f aca="false">Scenarii!E148</f>
        <v>127.272894347694</v>
      </c>
      <c r="F40" s="10" t="n">
        <f aca="false">Scenarii!F148</f>
        <v>153.995135907212</v>
      </c>
    </row>
    <row r="42" customFormat="false" ht="15" hidden="false" customHeight="false" outlineLevel="0" collapsed="false">
      <c r="B42" s="7" t="s">
        <v>42</v>
      </c>
      <c r="C42" s="7" t="s">
        <v>43</v>
      </c>
      <c r="D42" s="7" t="s">
        <v>44</v>
      </c>
      <c r="E42" s="7" t="s">
        <v>45</v>
      </c>
      <c r="F42" s="7" t="s">
        <v>46</v>
      </c>
    </row>
    <row r="43" customFormat="false" ht="15" hidden="false" customHeight="false" outlineLevel="0" collapsed="false">
      <c r="B43" s="9" t="s">
        <v>47</v>
      </c>
      <c r="C43" s="14" t="n">
        <f aca="false">'Break-even'!$C$54</f>
        <v>5000</v>
      </c>
      <c r="D43" s="14" t="n">
        <f aca="false">'Break-even'!D32</f>
        <v>2586.16956204695</v>
      </c>
      <c r="E43" s="14" t="n">
        <f aca="false">'Break-even'!E32</f>
        <v>3799.80952897912</v>
      </c>
      <c r="F43" s="14" t="n">
        <f aca="false">'Break-even'!F32</f>
        <v>5165.10635550667</v>
      </c>
    </row>
    <row r="44" customFormat="false" ht="15" hidden="false" customHeight="false" outlineLevel="0" collapsed="false">
      <c r="B44" s="9" t="s">
        <v>48</v>
      </c>
      <c r="C44" s="14" t="n">
        <f aca="false">'Break-even'!$C$72</f>
        <v>5000</v>
      </c>
      <c r="D44" s="14" t="n">
        <f aca="false">'Break-even'!D34</f>
        <v>1846.8163000204</v>
      </c>
      <c r="E44" s="14" t="n">
        <f aca="false">'Break-even'!E34</f>
        <v>2846.72725201859</v>
      </c>
      <c r="F44" s="14" t="n">
        <f aca="false">'Break-even'!F34</f>
        <v>4095.81478532073</v>
      </c>
    </row>
    <row r="45" customFormat="false" ht="15" hidden="false" customHeight="false" outlineLevel="0" collapsed="false">
      <c r="B45" s="9" t="s">
        <v>49</v>
      </c>
      <c r="C45" s="14" t="n">
        <f aca="false">'Break-even'!$C$90</f>
        <v>20000</v>
      </c>
      <c r="D45" s="14" t="n">
        <f aca="false">'Break-even'!D36</f>
        <v>7979.21503086009</v>
      </c>
      <c r="E45" s="14" t="n">
        <f aca="false">'Break-even'!E36</f>
        <v>13383.462153521</v>
      </c>
      <c r="F45" s="14" t="n">
        <f aca="false">'Break-even'!F36</f>
        <v>19516.3748985643</v>
      </c>
    </row>
    <row r="46" customFormat="false" ht="15" hidden="false" customHeight="false" outlineLevel="0" collapsed="false">
      <c r="B46" s="9" t="s">
        <v>50</v>
      </c>
      <c r="C46" s="14" t="str">
        <f aca="false">'Break-even'!$C$91</f>
        <v>peste 60.000</v>
      </c>
      <c r="D46" s="14" t="n">
        <f aca="false">'Break-even'!D37</f>
        <v>47356.2311011702</v>
      </c>
      <c r="E46" s="14" t="n">
        <f aca="false">'Break-even'!E37</f>
        <v>85519.7079206881</v>
      </c>
      <c r="F46" s="14" t="n">
        <f aca="false">'Break-even'!F37</f>
        <v>152647.733925232</v>
      </c>
    </row>
    <row r="47" customFormat="false" ht="15" hidden="false" customHeight="false" outlineLevel="0" collapsed="false">
      <c r="B47" s="9" t="s">
        <v>51</v>
      </c>
      <c r="C47" s="15" t="s">
        <v>52</v>
      </c>
      <c r="D47" s="14" t="n">
        <f aca="false">IF(Scenarii!D73-Scenarii!D96&lt;=0,"niciodată",(Scenarii!D89-Scenarii!D64)/(Scenarii!D73-Scenarii!D96))</f>
        <v>1554.45831594075</v>
      </c>
      <c r="E47" s="14" t="n">
        <f aca="false">IF(Scenarii!E73-Scenarii!E96&lt;=0,"niciodată",(Scenarii!E89-Scenarii!E64)/(Scenarii!E73-Scenarii!E96))</f>
        <v>6275.91273307738</v>
      </c>
      <c r="F47" s="14" t="n">
        <f aca="false">IF(Scenarii!F73-Scenarii!F96&lt;=0,"niciodată",(Scenarii!F89-Scenarii!F64)/(Scenarii!F73-Scenarii!F96))</f>
        <v>13219.5535214546</v>
      </c>
    </row>
    <row r="48" customFormat="false" ht="30" hidden="false" customHeight="true" outlineLevel="0" collapsed="false">
      <c r="B48" s="6" t="s">
        <v>53</v>
      </c>
      <c r="C48" s="6"/>
      <c r="D48" s="6"/>
      <c r="E48" s="6"/>
      <c r="F48" s="6"/>
      <c r="G48" s="6"/>
    </row>
    <row r="50" customFormat="false" ht="15" hidden="false" customHeight="false" outlineLevel="0" collapsed="false">
      <c r="B50" s="7" t="s">
        <v>54</v>
      </c>
      <c r="C50" s="7" t="s">
        <v>55</v>
      </c>
      <c r="D50" s="7" t="s">
        <v>56</v>
      </c>
    </row>
    <row r="51" customFormat="false" ht="15" hidden="false" customHeight="false" outlineLevel="0" collapsed="false">
      <c r="B51" s="9" t="s">
        <v>57</v>
      </c>
      <c r="C51" s="13" t="n">
        <f aca="false">Scenarii!D83</f>
        <v>23361.13</v>
      </c>
      <c r="D51" s="16" t="n">
        <f aca="false">Capacitate!D14</f>
        <v>16.32</v>
      </c>
      <c r="E51" s="17" t="s">
        <v>58</v>
      </c>
    </row>
    <row r="52" customFormat="false" ht="15" hidden="false" customHeight="false" outlineLevel="0" collapsed="false">
      <c r="B52" s="9" t="s">
        <v>59</v>
      </c>
      <c r="C52" s="13" t="n">
        <f aca="false">Scenarii!F83</f>
        <v>38783.26</v>
      </c>
    </row>
    <row r="53" customFormat="false" ht="15" hidden="false" customHeight="false" outlineLevel="0" collapsed="false">
      <c r="B53" s="9" t="s">
        <v>60</v>
      </c>
      <c r="C53" s="13" t="n">
        <f aca="false">'Break-even'!$C$17+Ipoteze!$C$118+'Break-even'!$C$18</f>
        <v>104194.858431373</v>
      </c>
      <c r="D53" s="16" t="n">
        <f aca="false">Ipoteze!$C$18/Ipoteze!$C$125</f>
        <v>17</v>
      </c>
      <c r="E53" s="17" t="s">
        <v>61</v>
      </c>
    </row>
    <row r="54" customFormat="false" ht="15" hidden="false" customHeight="false" outlineLevel="0" collapsed="false">
      <c r="B54" s="9" t="s">
        <v>62</v>
      </c>
      <c r="C54" s="13" t="n">
        <f aca="false">'Break-even'!$C$17+Ipoteze!$C$118</f>
        <v>91618.78</v>
      </c>
    </row>
    <row r="55" customFormat="false" ht="15" hidden="false" customHeight="false" outlineLevel="0" collapsed="false">
      <c r="B55" s="9" t="s">
        <v>63</v>
      </c>
      <c r="C55" s="13" t="n">
        <f aca="false">'Break-even'!$C$25</f>
        <v>36470.42</v>
      </c>
      <c r="D55" s="16" t="n">
        <f aca="false">Ipoteze!$C$18/(Capacitate!B12)</f>
        <v>99.5121951219512</v>
      </c>
      <c r="E55" s="17" t="s">
        <v>64</v>
      </c>
    </row>
    <row r="56" customFormat="false" ht="15" hidden="false" customHeight="false" outlineLevel="0" collapsed="false">
      <c r="B56" s="9" t="s">
        <v>65</v>
      </c>
      <c r="C56" s="13" t="n">
        <f aca="false">Scenarii!F48</f>
        <v>287432.418431373</v>
      </c>
      <c r="D56" s="16" t="n">
        <f aca="false">Scenarii!F42</f>
        <v>3</v>
      </c>
      <c r="E56" s="17" t="s">
        <v>66</v>
      </c>
    </row>
    <row r="58" customFormat="false" ht="15" hidden="false" customHeight="false" outlineLevel="0" collapsed="false">
      <c r="B58" s="7" t="s">
        <v>67</v>
      </c>
      <c r="C58" s="8" t="n">
        <f aca="false">Scenarii!C7</f>
        <v>100</v>
      </c>
      <c r="D58" s="8" t="n">
        <f aca="false">Scenarii!D7</f>
        <v>1000</v>
      </c>
      <c r="E58" s="8" t="n">
        <f aca="false">Scenarii!E7</f>
        <v>5000</v>
      </c>
      <c r="F58" s="8" t="n">
        <f aca="false">Scenarii!F7</f>
        <v>20000</v>
      </c>
    </row>
    <row r="59" customFormat="false" ht="15" hidden="false" customHeight="false" outlineLevel="0" collapsed="false">
      <c r="B59" s="9" t="s">
        <v>68</v>
      </c>
      <c r="C59" s="10" t="n">
        <f aca="false">Ipoteze!C$62</f>
        <v>15</v>
      </c>
      <c r="D59" s="10" t="n">
        <f aca="false">Ipoteze!D$62</f>
        <v>10</v>
      </c>
      <c r="E59" s="10" t="n">
        <f aca="false">Ipoteze!E$62</f>
        <v>8</v>
      </c>
      <c r="F59" s="10" t="n">
        <f aca="false">Ipoteze!F$62</f>
        <v>7</v>
      </c>
    </row>
    <row r="60" customFormat="false" ht="15" hidden="false" customHeight="false" outlineLevel="0" collapsed="false">
      <c r="B60" s="11" t="s">
        <v>69</v>
      </c>
      <c r="C60" s="18" t="n">
        <f aca="false">Ipoteze!C$62+(Scenarii!C98-Scenarii!C75)/(1+Scenarii!C11)</f>
        <v>40.6776478647321</v>
      </c>
      <c r="D60" s="18" t="n">
        <f aca="false">Ipoteze!D$62+(Scenarii!D98-Scenarii!D75)/(1+Scenarii!D11)</f>
        <v>16.5443151934571</v>
      </c>
      <c r="E60" s="18" t="n">
        <f aca="false">Ipoteze!E$62+(Scenarii!E98-Scenarii!E75)/(1+Scenarii!E11)</f>
        <v>10.3995015937926</v>
      </c>
      <c r="F60" s="18" t="n">
        <f aca="false">Ipoteze!F$62+(Scenarii!F98-Scenarii!F75)/(1+Scenarii!F11)</f>
        <v>4.21897316242005</v>
      </c>
    </row>
    <row r="61" customFormat="false" ht="15" hidden="false" customHeight="false" outlineLevel="0" collapsed="false">
      <c r="B61" s="9" t="s">
        <v>70</v>
      </c>
      <c r="C61" s="10" t="n">
        <f aca="false">Scenarii!C25</f>
        <v>71.46414</v>
      </c>
      <c r="D61" s="10" t="n">
        <f aca="false">Scenarii!D25</f>
        <v>31.842824</v>
      </c>
      <c r="E61" s="10" t="n">
        <f aca="false">Scenarii!E25</f>
        <v>23.4767104</v>
      </c>
      <c r="F61" s="10" t="n">
        <f aca="false">Scenarii!F25</f>
        <v>18.7363798</v>
      </c>
    </row>
    <row r="62" customFormat="false" ht="15" hidden="false" customHeight="false" outlineLevel="0" collapsed="false">
      <c r="B62" s="11" t="s">
        <v>71</v>
      </c>
      <c r="C62" s="18" t="n">
        <f aca="false">Scenarii!C25+(Scenarii!C121-Scenarii!C98)/((1+Ipoteze!$C$73)*(1+Scenarii!C11))</f>
        <v>511.95690005711</v>
      </c>
      <c r="D62" s="18" t="n">
        <f aca="false">Scenarii!D25+(Scenarii!D121-Scenarii!D98)/((1+Ipoteze!$C$73)*(1+Scenarii!D11))</f>
        <v>64.7223962721656</v>
      </c>
      <c r="E62" s="18" t="n">
        <f aca="false">Scenarii!E25+(Scenarii!E121-Scenarii!E98)/((1+Ipoteze!$C$73)*(1+Scenarii!E11))</f>
        <v>22.1252839264584</v>
      </c>
      <c r="F62" s="18" t="n">
        <f aca="false">Scenarii!F25+(Scenarii!F121-Scenarii!F98)/((1+Ipoteze!$C$73)*(1+Scenarii!F11))</f>
        <v>14.7781184120857</v>
      </c>
    </row>
    <row r="63" customFormat="false" ht="15" hidden="false" customHeight="false" outlineLevel="0" collapsed="false">
      <c r="B63" s="9" t="s">
        <v>72</v>
      </c>
      <c r="C63" s="10" t="n">
        <f aca="false">Scenarii!C23</f>
        <v>0</v>
      </c>
      <c r="D63" s="10" t="n">
        <f aca="false">Scenarii!D23</f>
        <v>4</v>
      </c>
      <c r="E63" s="10" t="n">
        <f aca="false">Scenarii!E23</f>
        <v>2.5</v>
      </c>
      <c r="F63" s="10" t="n">
        <f aca="false">Scenarii!F23</f>
        <v>1.8</v>
      </c>
    </row>
    <row r="64" customFormat="false" ht="15" hidden="false" customHeight="false" outlineLevel="0" collapsed="false">
      <c r="B64" s="11" t="s">
        <v>73</v>
      </c>
      <c r="C64" s="18" t="str">
        <f aca="false">IF(Scenarii!C8=2,"fără PCB propriu",Scenarii!C23+(Scenarii!C144-Scenarii!C121)/((1+Ipoteze!$C$73)*(1+Scenarii!C11)))</f>
        <v>fără PCB propriu</v>
      </c>
      <c r="D64" s="18" t="n">
        <f aca="false">IF(Scenarii!D8=2,"fără PCB propriu",Scenarii!D23+(Scenarii!D144-Scenarii!D121)/((1+Ipoteze!$C$73)*(1+Scenarii!D11)))</f>
        <v>28.7723188537978</v>
      </c>
      <c r="E64" s="18" t="n">
        <f aca="false">IF(Scenarii!E8=2,"fără PCB propriu",Scenarii!E23+(Scenarii!E144-Scenarii!E121)/((1+Ipoteze!$C$73)*(1+Scenarii!E11)))</f>
        <v>6.00226575214163</v>
      </c>
      <c r="F64" s="18" t="n">
        <f aca="false">IF(Scenarii!F8=2,"fără PCB propriu",Scenarii!F23+(Scenarii!F144-Scenarii!F121)/((1+Ipoteze!$C$73)*(1+Scenarii!F11)))</f>
        <v>1.72087364249001</v>
      </c>
    </row>
    <row r="65" customFormat="false" ht="27.75" hidden="false" customHeight="true" outlineLevel="0" collapsed="false">
      <c r="B65" s="6" t="s">
        <v>74</v>
      </c>
      <c r="C65" s="6"/>
      <c r="D65" s="6"/>
      <c r="E65" s="6"/>
      <c r="F65" s="6"/>
      <c r="G65" s="6"/>
    </row>
    <row r="67" customFormat="false" ht="15" hidden="false" customHeight="false" outlineLevel="0" collapsed="false">
      <c r="B67" s="7" t="s">
        <v>75</v>
      </c>
    </row>
    <row r="68" customFormat="false" ht="30" hidden="false" customHeight="true" outlineLevel="0" collapsed="false">
      <c r="B68" s="19" t="str">
        <f aca="false">"• Cel mai ieftin la 100 / 1.000 / 5.000 / 20.000 buc./an: "&amp;C9&amp;" / "&amp;D9&amp;" / "&amp;E9&amp;" / "&amp;F9&amp;". Diferențele de câțiva €/buc. sunt sub marja de eroare a estimărilor."</f>
        <v>• Cel mai ieftin la 100 / 1.000 / 5.000 / 20.000 buc./an: A / A / A / D. Diferențele de câțiva €/buc. sunt sub marja de eroare a estimărilor.</v>
      </c>
      <c r="C68" s="19"/>
      <c r="D68" s="19"/>
      <c r="E68" s="19"/>
      <c r="F68" s="19"/>
      <c r="G68" s="19"/>
    </row>
    <row r="69" customFormat="false" ht="30" hidden="false" customHeight="true" outlineLevel="0" collapsed="false">
      <c r="B69" s="19" t="str">
        <f aca="false">"• Atelierul T0 (B) bate box build-ul la EMS dacă EMS cere peste "&amp;TEXT(D60,"0.0")&amp;" € la 1.000 buc. și peste "&amp;TEXT(E60,"0.0")&amp;" € la 5.000 (ipoteza: "&amp;TEXT(D59,"0.0")&amp;" / "&amp;TEXT(E59,"0.0")&amp;" €). Argumentul real pentru T0 e controlul: flash, calibrare, test, serie, QC."</f>
        <v>• Atelierul T0 (B) bate box build-ul la EMS dacă EMS cere peste 16.5 € la 1.000 buc. și peste 10.4 € la 5.000 (ipoteza: 10.0 / 8.0 €). Argumentul real pentru T0 e controlul: flash, calibrare, test, serie, QC.</v>
      </c>
      <c r="C69" s="19"/>
      <c r="D69" s="19"/>
      <c r="E69" s="19"/>
      <c r="F69" s="19"/>
      <c r="G69" s="19"/>
    </row>
    <row r="70" customFormat="false" ht="30" hidden="false" customHeight="true" outlineLevel="0" collapsed="false">
      <c r="B70" s="19" t="str">
        <f aca="false">"• CNC propriu S: o mașină plină pe un schimb (~"&amp;TEXT('Break-even'!$C$23,"#,##0")&amp;" seturi/an) e aproape de break-even; în grila cu trepte reale propriul câștigă de la "&amp;IF(ISNUMBER('Break-even'!$C$54),TEXT('Break-even'!$C$54,"#,##0"),'Break-even'!$C$54)&amp;" seturi/an (M, comparație: "&amp;IF(ISNUMBER('Break-even'!$C$72),TEXT('Break-even'!$C$72,"#,##0"),'Break-even'!$C$72)&amp;"). Prima celulă: ~"&amp;TEXT('Break-even'!$C$17+Ipoteze!$C$118+'Break-even'!$C$18,"#,##0")&amp;" € capex."</f>
        <v>• CNC propriu S: o mașină plină pe un schimb (~3,740 seturi/an) e aproape de break-even; în grila cu trepte reale propriul câștigă de la 5,000 seturi/an (M, comparație: 5,000). Prima celulă: ~104,195 € capex.</v>
      </c>
      <c r="C70" s="19"/>
      <c r="D70" s="19"/>
      <c r="E70" s="19"/>
      <c r="F70" s="19"/>
      <c r="G70" s="19"/>
    </row>
    <row r="71" customFormat="false" ht="30" hidden="false" customHeight="true" outlineLevel="0" collapsed="false">
      <c r="B71" s="19" t="str">
        <f aca="false">"• SMT propriu bate EMS România abia pe la "&amp;IF(ISNUMBER('Break-even'!$C$90),TEXT('Break-even'!$C$90,"#,##0"),'Break-even'!$C$90)&amp;" plăci/an (la limită) și nu bate JLCPCB în grilă ("&amp;IF(ISNUMBER('Break-even'!$C$91),TEXT('Break-even'!$C$91,"#,##0"),'Break-even'!$C$91)&amp;"). Plus: PCB-ul custom încă nu există."</f>
        <v>• SMT propriu bate EMS România abia pe la 20,000 plăci/an (la limită) și nu bate JLCPCB în grilă (peste 60.000). Plus: PCB-ul custom încă nu există.</v>
      </c>
      <c r="C71" s="19"/>
      <c r="D71" s="19"/>
      <c r="E71" s="19"/>
      <c r="F71" s="19"/>
      <c r="G71" s="19"/>
    </row>
    <row r="72" customFormat="false" ht="30" hidden="false" customHeight="true" outlineLevel="0" collapsed="false">
      <c r="B72" s="19" t="str">
        <f aca="false">"• Anodizarea rămâne externă în toate scenariile: CAEN 2561 cere autorizație de mediu, ape uzate NTPA-002 (Ni 1,0 mg/L), acetat de nichel; culoarea pe 5 nuanțe e riscul principal."</f>
        <v>• Anodizarea rămâne externă în toate scenariile: CAEN 2561 cere autorizație de mediu, ape uzate NTPA-002 (Ni 1,0 mg/L), acetat de nichel; culoarea pe 5 nuanțe e riscul principal.</v>
      </c>
      <c r="C72" s="19"/>
      <c r="D72" s="19"/>
      <c r="E72" s="19"/>
      <c r="F72" s="19"/>
      <c r="G72" s="19"/>
    </row>
  </sheetData>
  <mergeCells count="8">
    <mergeCell ref="A2:G2"/>
    <mergeCell ref="B48:G48"/>
    <mergeCell ref="B65:G65"/>
    <mergeCell ref="B68:G68"/>
    <mergeCell ref="B69:G69"/>
    <mergeCell ref="B70:G70"/>
    <mergeCell ref="B71:G71"/>
    <mergeCell ref="B72:G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8"/>
    <col collapsed="false" customWidth="true" hidden="false" outlineLevel="0" max="6" min="3" style="0" width="12"/>
    <col collapsed="false" customWidth="true" hidden="false" outlineLevel="0" max="7" min="7" style="0" width="11"/>
    <col collapsed="false" customWidth="true" hidden="false" outlineLevel="0" max="8" min="8" style="0" width="95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5" t="s">
        <v>76</v>
      </c>
    </row>
    <row r="2" customFormat="false" ht="42" hidden="false" customHeight="true" outlineLevel="0" collapsed="false">
      <c r="A2" s="6" t="s">
        <v>77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84</v>
      </c>
      <c r="H4" s="7" t="s">
        <v>85</v>
      </c>
      <c r="I4" s="7" t="s">
        <v>86</v>
      </c>
    </row>
    <row r="6" customFormat="false" ht="15" hidden="false" customHeight="false" outlineLevel="0" collapsed="false">
      <c r="A6" s="20" t="s">
        <v>87</v>
      </c>
      <c r="B6" s="21"/>
      <c r="C6" s="21"/>
      <c r="D6" s="21"/>
      <c r="E6" s="21"/>
      <c r="F6" s="21"/>
      <c r="G6" s="21"/>
      <c r="H6" s="21"/>
      <c r="I6" s="21"/>
    </row>
    <row r="7" customFormat="false" ht="15" hidden="false" customHeight="false" outlineLevel="0" collapsed="false">
      <c r="A7" s="17" t="s">
        <v>88</v>
      </c>
      <c r="B7" s="3" t="s">
        <v>89</v>
      </c>
      <c r="C7" s="22" t="n">
        <v>5.1</v>
      </c>
      <c r="G7" s="9" t="s">
        <v>90</v>
      </c>
      <c r="H7" s="3" t="s">
        <v>91</v>
      </c>
      <c r="I7" s="9" t="s">
        <v>92</v>
      </c>
    </row>
    <row r="8" customFormat="false" ht="15" hidden="false" customHeight="false" outlineLevel="0" collapsed="false">
      <c r="A8" s="17" t="s">
        <v>93</v>
      </c>
      <c r="B8" s="3" t="s">
        <v>94</v>
      </c>
      <c r="C8" s="22" t="n">
        <v>0.87</v>
      </c>
      <c r="G8" s="9" t="s">
        <v>95</v>
      </c>
      <c r="H8" s="3" t="s">
        <v>96</v>
      </c>
      <c r="I8" s="9" t="s">
        <v>92</v>
      </c>
    </row>
    <row r="9" customFormat="false" ht="15" hidden="false" customHeight="false" outlineLevel="0" collapsed="false">
      <c r="A9" s="17" t="s">
        <v>97</v>
      </c>
      <c r="B9" s="3" t="s">
        <v>98</v>
      </c>
      <c r="C9" s="23" t="n">
        <v>100</v>
      </c>
      <c r="D9" s="23" t="n">
        <v>1000</v>
      </c>
      <c r="E9" s="23" t="n">
        <v>5000</v>
      </c>
      <c r="F9" s="23" t="n">
        <v>20000</v>
      </c>
      <c r="G9" s="9" t="s">
        <v>99</v>
      </c>
      <c r="H9" s="3" t="s">
        <v>100</v>
      </c>
      <c r="I9" s="9" t="s">
        <v>101</v>
      </c>
    </row>
    <row r="10" customFormat="false" ht="15" hidden="false" customHeight="false" outlineLevel="0" collapsed="false">
      <c r="A10" s="17" t="s">
        <v>102</v>
      </c>
      <c r="B10" s="3" t="s">
        <v>103</v>
      </c>
      <c r="C10" s="24" t="n">
        <v>249</v>
      </c>
      <c r="G10" s="9" t="s">
        <v>104</v>
      </c>
      <c r="H10" s="3" t="s">
        <v>105</v>
      </c>
      <c r="I10" s="9" t="s">
        <v>101</v>
      </c>
    </row>
    <row r="11" customFormat="false" ht="15" hidden="false" customHeight="false" outlineLevel="0" collapsed="false">
      <c r="A11" s="17" t="s">
        <v>106</v>
      </c>
      <c r="B11" s="3" t="s">
        <v>107</v>
      </c>
      <c r="C11" s="25" t="n">
        <v>0.21</v>
      </c>
      <c r="G11" s="9" t="s">
        <v>108</v>
      </c>
      <c r="H11" s="3" t="s">
        <v>109</v>
      </c>
      <c r="I11" s="9" t="s">
        <v>92</v>
      </c>
    </row>
    <row r="12" customFormat="false" ht="23.85" hidden="false" customHeight="false" outlineLevel="0" collapsed="false">
      <c r="A12" s="17" t="s">
        <v>110</v>
      </c>
      <c r="B12" s="3" t="s">
        <v>111</v>
      </c>
      <c r="C12" s="26" t="n">
        <v>395000</v>
      </c>
      <c r="G12" s="9" t="s">
        <v>112</v>
      </c>
      <c r="H12" s="3" t="s">
        <v>113</v>
      </c>
      <c r="I12" s="9" t="s">
        <v>114</v>
      </c>
    </row>
    <row r="13" customFormat="false" ht="23.85" hidden="false" customHeight="false" outlineLevel="0" collapsed="false">
      <c r="A13" s="17" t="s">
        <v>115</v>
      </c>
      <c r="B13" s="3" t="s">
        <v>116</v>
      </c>
      <c r="C13" s="23" t="n">
        <v>2</v>
      </c>
      <c r="D13" s="23" t="n">
        <v>1</v>
      </c>
      <c r="E13" s="23" t="n">
        <v>1</v>
      </c>
      <c r="F13" s="23" t="n">
        <v>1</v>
      </c>
      <c r="G13" s="9" t="s">
        <v>117</v>
      </c>
      <c r="H13" s="3" t="s">
        <v>118</v>
      </c>
      <c r="I13" s="9" t="s">
        <v>114</v>
      </c>
    </row>
    <row r="14" customFormat="false" ht="15" hidden="false" customHeight="false" outlineLevel="0" collapsed="false">
      <c r="A14" s="17" t="s">
        <v>119</v>
      </c>
      <c r="B14" s="3" t="s">
        <v>120</v>
      </c>
      <c r="C14" s="23" t="n">
        <v>2</v>
      </c>
      <c r="G14" s="9" t="s">
        <v>117</v>
      </c>
      <c r="H14" s="3" t="s">
        <v>121</v>
      </c>
      <c r="I14" s="9" t="s">
        <v>101</v>
      </c>
    </row>
    <row r="15" customFormat="false" ht="15" hidden="false" customHeight="false" outlineLevel="0" collapsed="false">
      <c r="A15" s="17" t="s">
        <v>122</v>
      </c>
      <c r="B15" s="3" t="s">
        <v>123</v>
      </c>
      <c r="C15" s="26" t="n">
        <v>220</v>
      </c>
      <c r="G15" s="9" t="s">
        <v>124</v>
      </c>
      <c r="H15" s="3" t="s">
        <v>125</v>
      </c>
      <c r="I15" s="9" t="s">
        <v>114</v>
      </c>
    </row>
    <row r="16" customFormat="false" ht="15" hidden="false" customHeight="false" outlineLevel="0" collapsed="false">
      <c r="A16" s="17" t="s">
        <v>126</v>
      </c>
      <c r="B16" s="3" t="s">
        <v>127</v>
      </c>
      <c r="C16" s="26" t="n">
        <v>8</v>
      </c>
      <c r="G16" s="9" t="s">
        <v>128</v>
      </c>
      <c r="H16" s="3" t="s">
        <v>129</v>
      </c>
      <c r="I16" s="9" t="s">
        <v>101</v>
      </c>
    </row>
    <row r="17" customFormat="false" ht="15" hidden="false" customHeight="false" outlineLevel="0" collapsed="false">
      <c r="A17" s="17" t="s">
        <v>130</v>
      </c>
      <c r="B17" s="3" t="s">
        <v>131</v>
      </c>
      <c r="C17" s="25" t="n">
        <v>0.85</v>
      </c>
      <c r="G17" s="9" t="s">
        <v>108</v>
      </c>
      <c r="H17" s="3" t="s">
        <v>132</v>
      </c>
      <c r="I17" s="9" t="s">
        <v>114</v>
      </c>
    </row>
    <row r="18" customFormat="false" ht="15" hidden="false" customHeight="false" outlineLevel="0" collapsed="false">
      <c r="A18" s="17" t="s">
        <v>133</v>
      </c>
      <c r="B18" s="3" t="s">
        <v>134</v>
      </c>
      <c r="C18" s="27" t="n">
        <f aca="false">Ipoteze!$C$16*60*Ipoteze!$C$17</f>
        <v>408</v>
      </c>
      <c r="G18" s="9" t="s">
        <v>135</v>
      </c>
      <c r="H18" s="3" t="s">
        <v>136</v>
      </c>
      <c r="I18" s="9" t="s">
        <v>137</v>
      </c>
    </row>
    <row r="19" customFormat="false" ht="15" hidden="false" customHeight="false" outlineLevel="0" collapsed="false">
      <c r="A19" s="17" t="s">
        <v>138</v>
      </c>
      <c r="B19" s="3" t="s">
        <v>139</v>
      </c>
      <c r="C19" s="27" t="n">
        <f aca="false">Ipoteze!$C$15*Ipoteze!$C$16*Ipoteze!$C$17</f>
        <v>1496</v>
      </c>
      <c r="G19" s="9" t="s">
        <v>128</v>
      </c>
      <c r="H19" s="3" t="s">
        <v>136</v>
      </c>
      <c r="I19" s="9" t="s">
        <v>137</v>
      </c>
    </row>
    <row r="20" customFormat="false" ht="15" hidden="false" customHeight="false" outlineLevel="0" collapsed="false">
      <c r="A20" s="17" t="s">
        <v>140</v>
      </c>
      <c r="B20" s="3" t="s">
        <v>141</v>
      </c>
      <c r="C20" s="26" t="n">
        <v>2</v>
      </c>
      <c r="G20" s="9" t="s">
        <v>142</v>
      </c>
      <c r="H20" s="3" t="s">
        <v>143</v>
      </c>
      <c r="I20" s="9" t="s">
        <v>114</v>
      </c>
    </row>
    <row r="21" customFormat="false" ht="15" hidden="false" customHeight="false" outlineLevel="0" collapsed="false">
      <c r="A21" s="17" t="s">
        <v>144</v>
      </c>
      <c r="B21" s="3" t="s">
        <v>145</v>
      </c>
      <c r="C21" s="25" t="n">
        <v>0.8</v>
      </c>
      <c r="G21" s="9" t="s">
        <v>108</v>
      </c>
      <c r="H21" s="3" t="s">
        <v>114</v>
      </c>
      <c r="I21" s="9" t="s">
        <v>114</v>
      </c>
    </row>
    <row r="22" customFormat="false" ht="15" hidden="false" customHeight="false" outlineLevel="0" collapsed="false">
      <c r="A22" s="17" t="s">
        <v>146</v>
      </c>
      <c r="B22" s="3" t="s">
        <v>147</v>
      </c>
      <c r="C22" s="26" t="n">
        <v>1</v>
      </c>
      <c r="D22" s="26" t="n">
        <v>4</v>
      </c>
      <c r="E22" s="26" t="n">
        <v>8</v>
      </c>
      <c r="F22" s="26" t="n">
        <v>12</v>
      </c>
      <c r="G22" s="9" t="s">
        <v>148</v>
      </c>
      <c r="H22" s="3" t="s">
        <v>149</v>
      </c>
      <c r="I22" s="9" t="s">
        <v>114</v>
      </c>
    </row>
    <row r="23" customFormat="false" ht="15" hidden="false" customHeight="false" outlineLevel="0" collapsed="false">
      <c r="A23" s="17" t="s">
        <v>150</v>
      </c>
      <c r="B23" s="3" t="s">
        <v>151</v>
      </c>
      <c r="C23" s="26" t="n">
        <v>2</v>
      </c>
      <c r="D23" s="26" t="n">
        <v>5</v>
      </c>
      <c r="E23" s="26" t="n">
        <v>5</v>
      </c>
      <c r="F23" s="26" t="n">
        <v>5</v>
      </c>
      <c r="G23" s="9" t="s">
        <v>152</v>
      </c>
      <c r="H23" s="3" t="s">
        <v>153</v>
      </c>
      <c r="I23" s="9" t="s">
        <v>92</v>
      </c>
    </row>
    <row r="24" customFormat="false" ht="15" hidden="false" customHeight="false" outlineLevel="0" collapsed="false">
      <c r="A24" s="17" t="s">
        <v>154</v>
      </c>
      <c r="B24" s="3" t="s">
        <v>155</v>
      </c>
      <c r="C24" s="26" t="n">
        <v>500</v>
      </c>
      <c r="G24" s="9" t="s">
        <v>99</v>
      </c>
      <c r="H24" s="3" t="s">
        <v>156</v>
      </c>
      <c r="I24" s="9" t="s">
        <v>114</v>
      </c>
    </row>
    <row r="26" customFormat="false" ht="15" hidden="false" customHeight="false" outlineLevel="0" collapsed="false">
      <c r="A26" s="20" t="s">
        <v>157</v>
      </c>
      <c r="B26" s="21"/>
      <c r="C26" s="21"/>
      <c r="D26" s="21"/>
      <c r="E26" s="21"/>
      <c r="F26" s="21"/>
      <c r="G26" s="21"/>
      <c r="H26" s="21"/>
      <c r="I26" s="21"/>
    </row>
    <row r="27" customFormat="false" ht="23.85" hidden="false" customHeight="false" outlineLevel="0" collapsed="false">
      <c r="A27" s="17" t="s">
        <v>158</v>
      </c>
      <c r="B27" s="3" t="s">
        <v>159</v>
      </c>
      <c r="C27" s="28" t="n">
        <v>17</v>
      </c>
      <c r="D27" s="28" t="n">
        <v>10</v>
      </c>
      <c r="E27" s="28" t="n">
        <v>9.5</v>
      </c>
      <c r="F27" s="28" t="n">
        <v>9</v>
      </c>
      <c r="G27" s="9" t="s">
        <v>160</v>
      </c>
      <c r="H27" s="3" t="s">
        <v>161</v>
      </c>
      <c r="I27" s="9" t="s">
        <v>114</v>
      </c>
    </row>
    <row r="28" customFormat="false" ht="23.85" hidden="false" customHeight="false" outlineLevel="0" collapsed="false">
      <c r="A28" s="17" t="s">
        <v>162</v>
      </c>
      <c r="B28" s="3" t="s">
        <v>163</v>
      </c>
      <c r="C28" s="28" t="n">
        <v>4.6</v>
      </c>
      <c r="D28" s="28" t="n">
        <v>3.46</v>
      </c>
      <c r="E28" s="28" t="n">
        <v>3.4</v>
      </c>
      <c r="F28" s="28" t="n">
        <v>3.3</v>
      </c>
      <c r="G28" s="9" t="s">
        <v>160</v>
      </c>
      <c r="H28" s="3" t="s">
        <v>164</v>
      </c>
      <c r="I28" s="9" t="s">
        <v>165</v>
      </c>
    </row>
    <row r="29" customFormat="false" ht="23.85" hidden="false" customHeight="false" outlineLevel="0" collapsed="false">
      <c r="A29" s="17" t="s">
        <v>166</v>
      </c>
      <c r="B29" s="3" t="s">
        <v>167</v>
      </c>
      <c r="C29" s="28" t="n">
        <v>7</v>
      </c>
      <c r="D29" s="28" t="n">
        <v>5</v>
      </c>
      <c r="E29" s="28" t="n">
        <v>4.2</v>
      </c>
      <c r="F29" s="28" t="n">
        <v>3.6</v>
      </c>
      <c r="G29" s="9" t="s">
        <v>160</v>
      </c>
      <c r="H29" s="3" t="s">
        <v>168</v>
      </c>
      <c r="I29" s="9" t="s">
        <v>114</v>
      </c>
    </row>
    <row r="30" customFormat="false" ht="15" hidden="false" customHeight="false" outlineLevel="0" collapsed="false">
      <c r="A30" s="17" t="s">
        <v>169</v>
      </c>
      <c r="B30" s="3" t="s">
        <v>170</v>
      </c>
      <c r="C30" s="28" t="n">
        <v>1.6</v>
      </c>
      <c r="D30" s="28" t="n">
        <v>0.8</v>
      </c>
      <c r="E30" s="28" t="n">
        <v>0.56</v>
      </c>
      <c r="F30" s="28" t="n">
        <v>0.44</v>
      </c>
      <c r="G30" s="9" t="s">
        <v>160</v>
      </c>
      <c r="H30" s="3" t="s">
        <v>171</v>
      </c>
      <c r="I30" s="9" t="s">
        <v>114</v>
      </c>
    </row>
    <row r="31" customFormat="false" ht="23.85" hidden="false" customHeight="false" outlineLevel="0" collapsed="false">
      <c r="A31" s="17" t="s">
        <v>172</v>
      </c>
      <c r="B31" s="3" t="s">
        <v>173</v>
      </c>
      <c r="C31" s="28" t="n">
        <v>29.99</v>
      </c>
      <c r="G31" s="9" t="s">
        <v>160</v>
      </c>
      <c r="H31" s="3" t="s">
        <v>174</v>
      </c>
      <c r="I31" s="9" t="s">
        <v>92</v>
      </c>
    </row>
    <row r="32" customFormat="false" ht="15" hidden="false" customHeight="false" outlineLevel="0" collapsed="false">
      <c r="A32" s="17" t="s">
        <v>175</v>
      </c>
      <c r="B32" s="3" t="s">
        <v>176</v>
      </c>
      <c r="C32" s="22" t="n">
        <v>0</v>
      </c>
      <c r="G32" s="9" t="s">
        <v>177</v>
      </c>
      <c r="H32" s="3" t="s">
        <v>178</v>
      </c>
      <c r="I32" s="9" t="s">
        <v>92</v>
      </c>
    </row>
    <row r="33" customFormat="false" ht="15" hidden="false" customHeight="false" outlineLevel="0" collapsed="false">
      <c r="A33" s="17" t="s">
        <v>179</v>
      </c>
      <c r="B33" s="3" t="s">
        <v>180</v>
      </c>
      <c r="C33" s="22" t="n">
        <v>0</v>
      </c>
      <c r="G33" s="9" t="s">
        <v>177</v>
      </c>
      <c r="H33" s="3" t="s">
        <v>181</v>
      </c>
      <c r="I33" s="9" t="s">
        <v>92</v>
      </c>
    </row>
    <row r="34" customFormat="false" ht="23.85" hidden="false" customHeight="false" outlineLevel="0" collapsed="false">
      <c r="A34" s="17" t="s">
        <v>182</v>
      </c>
      <c r="B34" s="3" t="s">
        <v>183</v>
      </c>
      <c r="C34" s="28" t="n">
        <v>3.45</v>
      </c>
      <c r="D34" s="28" t="n">
        <v>1.5</v>
      </c>
      <c r="E34" s="28" t="n">
        <v>1.4</v>
      </c>
      <c r="F34" s="28" t="n">
        <v>1.35</v>
      </c>
      <c r="G34" s="9" t="s">
        <v>160</v>
      </c>
      <c r="H34" s="3" t="s">
        <v>184</v>
      </c>
      <c r="I34" s="9" t="s">
        <v>114</v>
      </c>
    </row>
    <row r="35" customFormat="false" ht="15" hidden="false" customHeight="false" outlineLevel="0" collapsed="false">
      <c r="A35" s="17" t="s">
        <v>185</v>
      </c>
      <c r="B35" s="3" t="s">
        <v>186</v>
      </c>
      <c r="C35" s="29" t="n">
        <v>0</v>
      </c>
      <c r="D35" s="29" t="n">
        <v>0.8</v>
      </c>
      <c r="E35" s="29" t="n">
        <v>0.6</v>
      </c>
      <c r="F35" s="29" t="n">
        <v>0.5</v>
      </c>
      <c r="G35" s="9" t="s">
        <v>187</v>
      </c>
      <c r="H35" s="3" t="s">
        <v>188</v>
      </c>
      <c r="I35" s="9" t="s">
        <v>114</v>
      </c>
    </row>
    <row r="36" customFormat="false" ht="23.85" hidden="false" customHeight="false" outlineLevel="0" collapsed="false">
      <c r="A36" s="17" t="s">
        <v>189</v>
      </c>
      <c r="B36" s="3" t="s">
        <v>190</v>
      </c>
      <c r="C36" s="28" t="n">
        <v>6</v>
      </c>
      <c r="D36" s="28" t="n">
        <v>2.2</v>
      </c>
      <c r="E36" s="28" t="n">
        <v>1.4</v>
      </c>
      <c r="F36" s="28" t="n">
        <v>0.9</v>
      </c>
      <c r="G36" s="9" t="s">
        <v>160</v>
      </c>
      <c r="H36" s="3" t="s">
        <v>191</v>
      </c>
      <c r="I36" s="9" t="s">
        <v>114</v>
      </c>
    </row>
    <row r="37" customFormat="false" ht="15" hidden="false" customHeight="false" outlineLevel="0" collapsed="false">
      <c r="A37" s="17" t="s">
        <v>192</v>
      </c>
      <c r="B37" s="3" t="s">
        <v>193</v>
      </c>
      <c r="C37" s="29" t="n">
        <v>3.5</v>
      </c>
      <c r="D37" s="29" t="n">
        <v>2</v>
      </c>
      <c r="E37" s="29" t="n">
        <v>1.5</v>
      </c>
      <c r="F37" s="29" t="n">
        <v>1.25</v>
      </c>
      <c r="G37" s="9" t="s">
        <v>187</v>
      </c>
      <c r="H37" s="3" t="s">
        <v>194</v>
      </c>
      <c r="I37" s="9" t="s">
        <v>114</v>
      </c>
    </row>
    <row r="38" customFormat="false" ht="15" hidden="false" customHeight="false" outlineLevel="0" collapsed="false">
      <c r="A38" s="17" t="s">
        <v>195</v>
      </c>
      <c r="B38" s="3" t="s">
        <v>196</v>
      </c>
      <c r="C38" s="29" t="n">
        <v>2.2</v>
      </c>
      <c r="D38" s="29" t="n">
        <v>1.2</v>
      </c>
      <c r="E38" s="29" t="n">
        <v>0.9</v>
      </c>
      <c r="F38" s="29" t="n">
        <v>0.8</v>
      </c>
      <c r="G38" s="9" t="s">
        <v>187</v>
      </c>
      <c r="H38" s="3" t="s">
        <v>197</v>
      </c>
      <c r="I38" s="9" t="s">
        <v>114</v>
      </c>
    </row>
    <row r="39" customFormat="false" ht="15" hidden="false" customHeight="false" outlineLevel="0" collapsed="false">
      <c r="A39" s="17" t="s">
        <v>198</v>
      </c>
      <c r="B39" s="3" t="s">
        <v>199</v>
      </c>
      <c r="C39" s="29" t="n">
        <v>4.5</v>
      </c>
      <c r="D39" s="29" t="n">
        <v>2.6</v>
      </c>
      <c r="E39" s="29" t="n">
        <v>1.1</v>
      </c>
      <c r="F39" s="29" t="n">
        <v>0.6</v>
      </c>
      <c r="G39" s="9" t="s">
        <v>187</v>
      </c>
      <c r="H39" s="3" t="s">
        <v>200</v>
      </c>
      <c r="I39" s="9" t="s">
        <v>114</v>
      </c>
    </row>
    <row r="40" customFormat="false" ht="15" hidden="false" customHeight="false" outlineLevel="0" collapsed="false">
      <c r="A40" s="17" t="s">
        <v>201</v>
      </c>
      <c r="B40" s="3" t="s">
        <v>202</v>
      </c>
      <c r="C40" s="29" t="n">
        <v>15</v>
      </c>
      <c r="D40" s="29" t="n">
        <v>10</v>
      </c>
      <c r="E40" s="29" t="n">
        <v>6.7</v>
      </c>
      <c r="F40" s="29" t="n">
        <v>5</v>
      </c>
      <c r="G40" s="9" t="s">
        <v>187</v>
      </c>
      <c r="H40" s="3" t="s">
        <v>203</v>
      </c>
      <c r="I40" s="9" t="s">
        <v>114</v>
      </c>
    </row>
    <row r="41" customFormat="false" ht="23.85" hidden="false" customHeight="false" outlineLevel="0" collapsed="false">
      <c r="A41" s="17" t="s">
        <v>204</v>
      </c>
      <c r="B41" s="3" t="s">
        <v>205</v>
      </c>
      <c r="C41" s="29" t="n">
        <v>9</v>
      </c>
      <c r="D41" s="29" t="n">
        <v>5</v>
      </c>
      <c r="E41" s="29" t="n">
        <v>3</v>
      </c>
      <c r="F41" s="29" t="n">
        <v>2.2</v>
      </c>
      <c r="G41" s="9" t="s">
        <v>187</v>
      </c>
      <c r="H41" s="3" t="s">
        <v>206</v>
      </c>
      <c r="I41" s="9" t="s">
        <v>114</v>
      </c>
    </row>
    <row r="42" customFormat="false" ht="15" hidden="false" customHeight="false" outlineLevel="0" collapsed="false">
      <c r="A42" s="17" t="s">
        <v>207</v>
      </c>
      <c r="B42" s="3" t="s">
        <v>208</v>
      </c>
      <c r="C42" s="25" t="n">
        <v>0.1</v>
      </c>
      <c r="D42" s="25" t="n">
        <v>0.06</v>
      </c>
      <c r="E42" s="25" t="n">
        <v>0.04</v>
      </c>
      <c r="F42" s="25" t="n">
        <v>0.03</v>
      </c>
      <c r="G42" s="9" t="s">
        <v>108</v>
      </c>
      <c r="H42" s="3" t="s">
        <v>209</v>
      </c>
      <c r="I42" s="9" t="s">
        <v>114</v>
      </c>
    </row>
    <row r="43" customFormat="false" ht="15" hidden="false" customHeight="false" outlineLevel="0" collapsed="false">
      <c r="A43" s="17" t="s">
        <v>210</v>
      </c>
      <c r="B43" s="3" t="s">
        <v>211</v>
      </c>
      <c r="C43" s="25" t="n">
        <v>0.02</v>
      </c>
      <c r="G43" s="9" t="s">
        <v>108</v>
      </c>
      <c r="H43" s="3" t="s">
        <v>212</v>
      </c>
      <c r="I43" s="9" t="s">
        <v>114</v>
      </c>
    </row>
    <row r="44" customFormat="false" ht="15" hidden="false" customHeight="false" outlineLevel="0" collapsed="false">
      <c r="A44" s="17" t="s">
        <v>213</v>
      </c>
      <c r="B44" s="3" t="s">
        <v>214</v>
      </c>
      <c r="C44" s="25" t="n">
        <v>0.06</v>
      </c>
      <c r="G44" s="9" t="s">
        <v>108</v>
      </c>
      <c r="H44" s="3" t="s">
        <v>215</v>
      </c>
      <c r="I44" s="9" t="s">
        <v>92</v>
      </c>
    </row>
    <row r="46" customFormat="false" ht="15" hidden="false" customHeight="false" outlineLevel="0" collapsed="false">
      <c r="A46" s="20" t="s">
        <v>216</v>
      </c>
      <c r="B46" s="21"/>
      <c r="C46" s="21"/>
      <c r="D46" s="21"/>
      <c r="E46" s="21"/>
      <c r="F46" s="21"/>
      <c r="G46" s="21"/>
      <c r="H46" s="21"/>
      <c r="I46" s="21"/>
    </row>
    <row r="47" customFormat="false" ht="15" hidden="false" customHeight="false" outlineLevel="0" collapsed="false">
      <c r="A47" s="17" t="s">
        <v>217</v>
      </c>
      <c r="B47" s="3" t="s">
        <v>218</v>
      </c>
      <c r="C47" s="28" t="n">
        <v>51.12</v>
      </c>
      <c r="G47" s="9" t="s">
        <v>219</v>
      </c>
      <c r="H47" s="3" t="s">
        <v>220</v>
      </c>
      <c r="I47" s="9" t="s">
        <v>221</v>
      </c>
    </row>
    <row r="48" customFormat="false" ht="15" hidden="false" customHeight="false" outlineLevel="0" collapsed="false">
      <c r="A48" s="17" t="s">
        <v>222</v>
      </c>
      <c r="B48" s="3" t="s">
        <v>223</v>
      </c>
      <c r="C48" s="28" t="n">
        <v>8.21</v>
      </c>
      <c r="G48" s="9" t="s">
        <v>219</v>
      </c>
      <c r="H48" s="3" t="s">
        <v>224</v>
      </c>
      <c r="I48" s="9" t="s">
        <v>221</v>
      </c>
    </row>
    <row r="49" customFormat="false" ht="15" hidden="false" customHeight="false" outlineLevel="0" collapsed="false">
      <c r="A49" s="17" t="s">
        <v>225</v>
      </c>
      <c r="B49" s="3" t="s">
        <v>226</v>
      </c>
      <c r="C49" s="28" t="n">
        <v>3.07</v>
      </c>
      <c r="G49" s="9" t="s">
        <v>227</v>
      </c>
      <c r="H49" s="3" t="s">
        <v>228</v>
      </c>
      <c r="I49" s="9" t="s">
        <v>221</v>
      </c>
    </row>
    <row r="50" customFormat="false" ht="15" hidden="false" customHeight="false" outlineLevel="0" collapsed="false">
      <c r="A50" s="17" t="s">
        <v>229</v>
      </c>
      <c r="B50" s="3" t="s">
        <v>230</v>
      </c>
      <c r="C50" s="26" t="n">
        <v>10</v>
      </c>
      <c r="G50" s="9" t="s">
        <v>231</v>
      </c>
      <c r="H50" s="3" t="s">
        <v>114</v>
      </c>
      <c r="I50" s="9" t="s">
        <v>114</v>
      </c>
    </row>
    <row r="51" customFormat="false" ht="15" hidden="false" customHeight="false" outlineLevel="0" collapsed="false">
      <c r="A51" s="17" t="s">
        <v>232</v>
      </c>
      <c r="B51" s="3" t="s">
        <v>233</v>
      </c>
      <c r="C51" s="26" t="n">
        <v>400</v>
      </c>
      <c r="G51" s="9" t="s">
        <v>234</v>
      </c>
      <c r="H51" s="3" t="s">
        <v>235</v>
      </c>
      <c r="I51" s="9" t="s">
        <v>114</v>
      </c>
    </row>
    <row r="52" customFormat="false" ht="15" hidden="false" customHeight="false" outlineLevel="0" collapsed="false">
      <c r="A52" s="17" t="s">
        <v>236</v>
      </c>
      <c r="B52" s="3" t="s">
        <v>237</v>
      </c>
      <c r="C52" s="26" t="n">
        <v>150</v>
      </c>
      <c r="G52" s="9" t="s">
        <v>231</v>
      </c>
      <c r="H52" s="3" t="s">
        <v>238</v>
      </c>
      <c r="I52" s="9" t="s">
        <v>114</v>
      </c>
    </row>
    <row r="53" customFormat="false" ht="15" hidden="false" customHeight="false" outlineLevel="0" collapsed="false">
      <c r="A53" s="17" t="s">
        <v>239</v>
      </c>
      <c r="B53" s="3" t="s">
        <v>240</v>
      </c>
      <c r="C53" s="30" t="n">
        <v>0.0016</v>
      </c>
      <c r="D53" s="30" t="n">
        <v>0.0016</v>
      </c>
      <c r="E53" s="30" t="n">
        <v>0.0014</v>
      </c>
      <c r="F53" s="30" t="n">
        <v>0.0012</v>
      </c>
      <c r="G53" s="9" t="s">
        <v>241</v>
      </c>
      <c r="H53" s="3" t="s">
        <v>242</v>
      </c>
      <c r="I53" s="9" t="s">
        <v>221</v>
      </c>
    </row>
    <row r="54" customFormat="false" ht="15" hidden="false" customHeight="false" outlineLevel="0" collapsed="false">
      <c r="A54" s="17" t="s">
        <v>243</v>
      </c>
      <c r="B54" s="3" t="s">
        <v>244</v>
      </c>
      <c r="C54" s="31" t="n">
        <v>12</v>
      </c>
      <c r="D54" s="31" t="n">
        <v>4</v>
      </c>
      <c r="E54" s="31" t="n">
        <v>2.5</v>
      </c>
      <c r="F54" s="31" t="n">
        <v>1.8</v>
      </c>
      <c r="G54" s="9" t="s">
        <v>245</v>
      </c>
      <c r="H54" s="3" t="s">
        <v>246</v>
      </c>
      <c r="I54" s="9" t="s">
        <v>114</v>
      </c>
    </row>
    <row r="55" customFormat="false" ht="35.05" hidden="false" customHeight="false" outlineLevel="0" collapsed="false">
      <c r="A55" s="17" t="s">
        <v>247</v>
      </c>
      <c r="B55" s="3" t="s">
        <v>248</v>
      </c>
      <c r="C55" s="31" t="n">
        <v>55</v>
      </c>
      <c r="D55" s="31" t="n">
        <v>23</v>
      </c>
      <c r="E55" s="31" t="n">
        <v>17.5</v>
      </c>
      <c r="F55" s="31" t="n">
        <v>14.3</v>
      </c>
      <c r="G55" s="9" t="s">
        <v>249</v>
      </c>
      <c r="H55" s="3" t="s">
        <v>250</v>
      </c>
      <c r="I55" s="9" t="s">
        <v>114</v>
      </c>
    </row>
    <row r="56" customFormat="false" ht="15" hidden="false" customHeight="false" outlineLevel="0" collapsed="false">
      <c r="A56" s="17" t="s">
        <v>251</v>
      </c>
      <c r="B56" s="3" t="s">
        <v>252</v>
      </c>
      <c r="C56" s="29" t="n">
        <v>1.3</v>
      </c>
      <c r="D56" s="29" t="n">
        <v>1</v>
      </c>
      <c r="E56" s="29" t="n">
        <v>0.8</v>
      </c>
      <c r="F56" s="29" t="n">
        <v>0.65</v>
      </c>
      <c r="G56" s="9" t="s">
        <v>249</v>
      </c>
      <c r="H56" s="3" t="s">
        <v>253</v>
      </c>
      <c r="I56" s="9" t="s">
        <v>114</v>
      </c>
    </row>
    <row r="57" customFormat="false" ht="15" hidden="false" customHeight="false" outlineLevel="0" collapsed="false">
      <c r="A57" s="17" t="s">
        <v>254</v>
      </c>
      <c r="B57" s="3" t="s">
        <v>255</v>
      </c>
      <c r="C57" s="29" t="n">
        <v>3.25</v>
      </c>
      <c r="D57" s="29" t="n">
        <v>2.6</v>
      </c>
      <c r="E57" s="29" t="n">
        <v>2.3</v>
      </c>
      <c r="F57" s="29" t="n">
        <v>1.95</v>
      </c>
      <c r="G57" s="9" t="s">
        <v>249</v>
      </c>
      <c r="H57" s="3" t="s">
        <v>256</v>
      </c>
      <c r="I57" s="9" t="s">
        <v>114</v>
      </c>
    </row>
    <row r="58" customFormat="false" ht="15" hidden="false" customHeight="false" outlineLevel="0" collapsed="false">
      <c r="A58" s="17" t="s">
        <v>257</v>
      </c>
      <c r="B58" s="3" t="s">
        <v>258</v>
      </c>
      <c r="C58" s="28" t="n">
        <v>100</v>
      </c>
      <c r="G58" s="9" t="s">
        <v>219</v>
      </c>
      <c r="H58" s="3" t="s">
        <v>259</v>
      </c>
      <c r="I58" s="9" t="s">
        <v>114</v>
      </c>
    </row>
    <row r="59" customFormat="false" ht="15" hidden="false" customHeight="false" outlineLevel="0" collapsed="false">
      <c r="A59" s="17" t="s">
        <v>260</v>
      </c>
      <c r="B59" s="3" t="s">
        <v>261</v>
      </c>
      <c r="C59" s="24" t="n">
        <v>100</v>
      </c>
      <c r="G59" s="9" t="s">
        <v>262</v>
      </c>
      <c r="H59" s="3" t="s">
        <v>263</v>
      </c>
      <c r="I59" s="9" t="s">
        <v>114</v>
      </c>
    </row>
    <row r="60" customFormat="false" ht="15" hidden="false" customHeight="false" outlineLevel="0" collapsed="false">
      <c r="A60" s="17" t="s">
        <v>264</v>
      </c>
      <c r="B60" s="3" t="s">
        <v>265</v>
      </c>
      <c r="C60" s="29" t="n">
        <v>2</v>
      </c>
      <c r="D60" s="29" t="n">
        <v>1.2</v>
      </c>
      <c r="E60" s="29" t="n">
        <v>0.8</v>
      </c>
      <c r="F60" s="29" t="n">
        <v>0.6</v>
      </c>
      <c r="G60" s="9" t="s">
        <v>187</v>
      </c>
      <c r="H60" s="3" t="s">
        <v>266</v>
      </c>
      <c r="I60" s="9" t="s">
        <v>114</v>
      </c>
    </row>
    <row r="61" customFormat="false" ht="15" hidden="false" customHeight="false" outlineLevel="0" collapsed="false">
      <c r="A61" s="17" t="s">
        <v>267</v>
      </c>
      <c r="B61" s="3" t="s">
        <v>268</v>
      </c>
      <c r="C61" s="29" t="n">
        <v>0.5</v>
      </c>
      <c r="G61" s="9" t="s">
        <v>249</v>
      </c>
      <c r="H61" s="3" t="s">
        <v>114</v>
      </c>
      <c r="I61" s="9" t="s">
        <v>114</v>
      </c>
    </row>
    <row r="62" customFormat="false" ht="15" hidden="false" customHeight="false" outlineLevel="0" collapsed="false">
      <c r="A62" s="17" t="s">
        <v>269</v>
      </c>
      <c r="B62" s="3" t="s">
        <v>270</v>
      </c>
      <c r="C62" s="31" t="n">
        <v>15</v>
      </c>
      <c r="D62" s="31" t="n">
        <v>10</v>
      </c>
      <c r="E62" s="31" t="n">
        <v>8</v>
      </c>
      <c r="F62" s="31" t="n">
        <v>7</v>
      </c>
      <c r="G62" s="9" t="s">
        <v>187</v>
      </c>
      <c r="H62" s="3" t="s">
        <v>271</v>
      </c>
      <c r="I62" s="9" t="s">
        <v>114</v>
      </c>
    </row>
    <row r="63" customFormat="false" ht="15" hidden="false" customHeight="false" outlineLevel="0" collapsed="false">
      <c r="A63" s="17" t="s">
        <v>272</v>
      </c>
      <c r="B63" s="3" t="s">
        <v>273</v>
      </c>
      <c r="C63" s="26" t="n">
        <v>5</v>
      </c>
      <c r="G63" s="9" t="s">
        <v>135</v>
      </c>
      <c r="H63" s="3" t="s">
        <v>114</v>
      </c>
      <c r="I63" s="9" t="s">
        <v>114</v>
      </c>
    </row>
    <row r="65" customFormat="false" ht="15" hidden="false" customHeight="false" outlineLevel="0" collapsed="false">
      <c r="A65" s="20" t="s">
        <v>274</v>
      </c>
      <c r="B65" s="21"/>
      <c r="C65" s="21"/>
      <c r="D65" s="21"/>
      <c r="E65" s="21"/>
      <c r="F65" s="21"/>
      <c r="G65" s="21"/>
      <c r="H65" s="21"/>
      <c r="I65" s="21"/>
    </row>
    <row r="66" customFormat="false" ht="15" hidden="false" customHeight="false" outlineLevel="0" collapsed="false">
      <c r="A66" s="17" t="s">
        <v>275</v>
      </c>
      <c r="B66" s="3" t="s">
        <v>276</v>
      </c>
      <c r="C66" s="23" t="n">
        <v>45</v>
      </c>
      <c r="D66" s="23" t="n">
        <v>25</v>
      </c>
      <c r="E66" s="23" t="n">
        <v>20</v>
      </c>
      <c r="F66" s="23" t="n">
        <v>15</v>
      </c>
      <c r="G66" s="9" t="s">
        <v>277</v>
      </c>
      <c r="H66" s="3" t="s">
        <v>278</v>
      </c>
      <c r="I66" s="9" t="s">
        <v>114</v>
      </c>
    </row>
    <row r="67" customFormat="false" ht="15" hidden="false" customHeight="false" outlineLevel="0" collapsed="false">
      <c r="A67" s="17" t="s">
        <v>279</v>
      </c>
      <c r="B67" s="3" t="s">
        <v>280</v>
      </c>
      <c r="C67" s="32" t="n">
        <v>4</v>
      </c>
      <c r="G67" s="9" t="s">
        <v>135</v>
      </c>
      <c r="H67" s="3" t="s">
        <v>281</v>
      </c>
      <c r="I67" s="9" t="s">
        <v>114</v>
      </c>
    </row>
    <row r="68" customFormat="false" ht="23.85" hidden="false" customHeight="false" outlineLevel="0" collapsed="false">
      <c r="A68" s="17" t="s">
        <v>282</v>
      </c>
      <c r="B68" s="3" t="s">
        <v>283</v>
      </c>
      <c r="C68" s="32" t="n">
        <v>2</v>
      </c>
      <c r="G68" s="9" t="s">
        <v>135</v>
      </c>
      <c r="H68" s="3" t="s">
        <v>284</v>
      </c>
      <c r="I68" s="9" t="s">
        <v>114</v>
      </c>
    </row>
    <row r="69" customFormat="false" ht="15" hidden="false" customHeight="false" outlineLevel="0" collapsed="false">
      <c r="A69" s="17" t="s">
        <v>285</v>
      </c>
      <c r="B69" s="3" t="s">
        <v>286</v>
      </c>
      <c r="C69" s="26" t="n">
        <v>4</v>
      </c>
      <c r="G69" s="9" t="s">
        <v>287</v>
      </c>
      <c r="H69" s="3" t="s">
        <v>288</v>
      </c>
      <c r="I69" s="9" t="s">
        <v>114</v>
      </c>
    </row>
    <row r="70" customFormat="false" ht="15" hidden="false" customHeight="false" outlineLevel="0" collapsed="false">
      <c r="A70" s="17" t="s">
        <v>289</v>
      </c>
      <c r="B70" s="3" t="s">
        <v>290</v>
      </c>
      <c r="C70" s="26" t="n">
        <v>10</v>
      </c>
      <c r="G70" s="9" t="s">
        <v>135</v>
      </c>
      <c r="H70" s="3" t="s">
        <v>291</v>
      </c>
      <c r="I70" s="9" t="s">
        <v>92</v>
      </c>
    </row>
    <row r="71" customFormat="false" ht="15" hidden="false" customHeight="false" outlineLevel="0" collapsed="false">
      <c r="A71" s="17" t="s">
        <v>292</v>
      </c>
      <c r="B71" s="3" t="s">
        <v>293</v>
      </c>
      <c r="C71" s="26" t="n">
        <v>20</v>
      </c>
      <c r="G71" s="9" t="s">
        <v>294</v>
      </c>
      <c r="H71" s="3" t="s">
        <v>114</v>
      </c>
      <c r="I71" s="9" t="s">
        <v>114</v>
      </c>
    </row>
    <row r="72" customFormat="false" ht="15" hidden="false" customHeight="false" outlineLevel="0" collapsed="false">
      <c r="A72" s="17" t="s">
        <v>295</v>
      </c>
      <c r="B72" s="3" t="s">
        <v>296</v>
      </c>
      <c r="C72" s="32" t="n">
        <v>1</v>
      </c>
      <c r="G72" s="9" t="s">
        <v>135</v>
      </c>
      <c r="H72" s="3" t="s">
        <v>297</v>
      </c>
      <c r="I72" s="9" t="s">
        <v>114</v>
      </c>
    </row>
    <row r="73" customFormat="false" ht="15" hidden="false" customHeight="false" outlineLevel="0" collapsed="false">
      <c r="A73" s="17" t="s">
        <v>298</v>
      </c>
      <c r="B73" s="3" t="s">
        <v>299</v>
      </c>
      <c r="C73" s="25" t="n">
        <v>0.03</v>
      </c>
      <c r="G73" s="9" t="s">
        <v>108</v>
      </c>
      <c r="H73" s="3" t="s">
        <v>300</v>
      </c>
      <c r="I73" s="9" t="s">
        <v>114</v>
      </c>
    </row>
    <row r="74" customFormat="false" ht="15" hidden="false" customHeight="false" outlineLevel="0" collapsed="false">
      <c r="A74" s="17" t="s">
        <v>301</v>
      </c>
      <c r="B74" s="3" t="s">
        <v>302</v>
      </c>
      <c r="C74" s="32" t="n">
        <v>0</v>
      </c>
      <c r="D74" s="32" t="n">
        <v>0</v>
      </c>
      <c r="E74" s="32" t="n">
        <v>1</v>
      </c>
      <c r="F74" s="32" t="n">
        <v>1</v>
      </c>
      <c r="G74" s="9" t="s">
        <v>303</v>
      </c>
      <c r="H74" s="3" t="s">
        <v>304</v>
      </c>
      <c r="I74" s="9" t="s">
        <v>114</v>
      </c>
    </row>
    <row r="75" customFormat="false" ht="15" hidden="false" customHeight="false" outlineLevel="0" collapsed="false">
      <c r="A75" s="17" t="s">
        <v>305</v>
      </c>
      <c r="B75" s="3" t="s">
        <v>306</v>
      </c>
      <c r="C75" s="32" t="n">
        <v>0</v>
      </c>
      <c r="D75" s="32" t="n">
        <v>0</v>
      </c>
      <c r="E75" s="32" t="n">
        <v>0</v>
      </c>
      <c r="F75" s="32" t="n">
        <v>1</v>
      </c>
      <c r="G75" s="9" t="s">
        <v>303</v>
      </c>
      <c r="H75" s="3" t="s">
        <v>114</v>
      </c>
      <c r="I75" s="9" t="s">
        <v>114</v>
      </c>
    </row>
    <row r="76" customFormat="false" ht="15" hidden="false" customHeight="false" outlineLevel="0" collapsed="false">
      <c r="A76" s="17" t="s">
        <v>307</v>
      </c>
      <c r="B76" s="3" t="s">
        <v>308</v>
      </c>
      <c r="C76" s="26" t="n">
        <v>0</v>
      </c>
      <c r="D76" s="26" t="n">
        <v>60</v>
      </c>
      <c r="E76" s="26" t="n">
        <v>150</v>
      </c>
      <c r="F76" s="26" t="n">
        <v>300</v>
      </c>
      <c r="G76" s="9" t="s">
        <v>309</v>
      </c>
      <c r="H76" s="3" t="s">
        <v>310</v>
      </c>
      <c r="I76" s="9" t="s">
        <v>114</v>
      </c>
    </row>
    <row r="77" customFormat="false" ht="15" hidden="false" customHeight="false" outlineLevel="0" collapsed="false">
      <c r="A77" s="17" t="s">
        <v>311</v>
      </c>
      <c r="B77" s="3" t="s">
        <v>312</v>
      </c>
      <c r="C77" s="26" t="n">
        <v>0</v>
      </c>
      <c r="D77" s="26" t="n">
        <v>1000</v>
      </c>
      <c r="E77" s="26" t="n">
        <v>2000</v>
      </c>
      <c r="F77" s="26" t="n">
        <v>3000</v>
      </c>
      <c r="G77" s="9" t="s">
        <v>313</v>
      </c>
      <c r="H77" s="3" t="s">
        <v>314</v>
      </c>
      <c r="I77" s="9" t="s">
        <v>114</v>
      </c>
    </row>
    <row r="78" customFormat="false" ht="15" hidden="false" customHeight="false" outlineLevel="0" collapsed="false">
      <c r="A78" s="17" t="s">
        <v>315</v>
      </c>
      <c r="B78" s="3" t="s">
        <v>316</v>
      </c>
      <c r="C78" s="24" t="n">
        <v>2495</v>
      </c>
      <c r="G78" s="9" t="s">
        <v>187</v>
      </c>
      <c r="H78" s="3" t="s">
        <v>317</v>
      </c>
      <c r="I78" s="9" t="s">
        <v>165</v>
      </c>
    </row>
    <row r="79" customFormat="false" ht="15" hidden="false" customHeight="false" outlineLevel="0" collapsed="false">
      <c r="A79" s="17" t="s">
        <v>318</v>
      </c>
      <c r="B79" s="3" t="s">
        <v>319</v>
      </c>
      <c r="C79" s="28" t="n">
        <v>1799</v>
      </c>
      <c r="G79" s="9" t="s">
        <v>320</v>
      </c>
      <c r="H79" s="3" t="s">
        <v>321</v>
      </c>
      <c r="I79" s="9" t="s">
        <v>165</v>
      </c>
    </row>
    <row r="80" customFormat="false" ht="15" hidden="false" customHeight="false" outlineLevel="0" collapsed="false">
      <c r="A80" s="17" t="s">
        <v>322</v>
      </c>
      <c r="B80" s="3" t="s">
        <v>323</v>
      </c>
      <c r="C80" s="28" t="n">
        <v>7399</v>
      </c>
      <c r="G80" s="9" t="s">
        <v>320</v>
      </c>
      <c r="H80" s="3" t="s">
        <v>224</v>
      </c>
      <c r="I80" s="9" t="s">
        <v>165</v>
      </c>
    </row>
    <row r="81" customFormat="false" ht="15" hidden="false" customHeight="false" outlineLevel="0" collapsed="false">
      <c r="A81" s="17" t="s">
        <v>324</v>
      </c>
      <c r="B81" s="3" t="s">
        <v>325</v>
      </c>
      <c r="C81" s="24" t="n">
        <v>300</v>
      </c>
      <c r="G81" s="9" t="s">
        <v>104</v>
      </c>
      <c r="H81" s="3" t="s">
        <v>326</v>
      </c>
      <c r="I81" s="9" t="s">
        <v>114</v>
      </c>
    </row>
    <row r="82" customFormat="false" ht="15" hidden="false" customHeight="false" outlineLevel="0" collapsed="false">
      <c r="A82" s="17" t="s">
        <v>327</v>
      </c>
      <c r="B82" s="3" t="s">
        <v>328</v>
      </c>
      <c r="C82" s="24" t="n">
        <v>4469</v>
      </c>
      <c r="G82" s="9" t="s">
        <v>104</v>
      </c>
      <c r="H82" s="3" t="s">
        <v>329</v>
      </c>
      <c r="I82" s="9" t="s">
        <v>165</v>
      </c>
    </row>
    <row r="83" customFormat="false" ht="15" hidden="false" customHeight="false" outlineLevel="0" collapsed="false">
      <c r="A83" s="17" t="s">
        <v>330</v>
      </c>
      <c r="B83" s="3" t="s">
        <v>331</v>
      </c>
      <c r="C83" s="24" t="n">
        <v>4660</v>
      </c>
      <c r="G83" s="9" t="s">
        <v>104</v>
      </c>
      <c r="H83" s="3" t="s">
        <v>332</v>
      </c>
      <c r="I83" s="9" t="s">
        <v>165</v>
      </c>
    </row>
    <row r="84" customFormat="false" ht="15" hidden="false" customHeight="false" outlineLevel="0" collapsed="false">
      <c r="A84" s="17" t="s">
        <v>333</v>
      </c>
      <c r="B84" s="3" t="s">
        <v>334</v>
      </c>
      <c r="C84" s="24" t="n">
        <v>400</v>
      </c>
      <c r="G84" s="9" t="s">
        <v>104</v>
      </c>
      <c r="H84" s="3" t="s">
        <v>114</v>
      </c>
      <c r="I84" s="9" t="s">
        <v>114</v>
      </c>
    </row>
    <row r="85" customFormat="false" ht="15" hidden="false" customHeight="false" outlineLevel="0" collapsed="false">
      <c r="A85" s="17" t="s">
        <v>335</v>
      </c>
      <c r="B85" s="3" t="s">
        <v>336</v>
      </c>
      <c r="C85" s="24" t="n">
        <v>1000</v>
      </c>
      <c r="G85" s="9" t="s">
        <v>104</v>
      </c>
      <c r="H85" s="3" t="s">
        <v>114</v>
      </c>
      <c r="I85" s="9" t="s">
        <v>114</v>
      </c>
    </row>
    <row r="86" customFormat="false" ht="15" hidden="false" customHeight="false" outlineLevel="0" collapsed="false">
      <c r="A86" s="17" t="s">
        <v>337</v>
      </c>
      <c r="B86" s="3" t="s">
        <v>338</v>
      </c>
      <c r="C86" s="24" t="n">
        <v>1500</v>
      </c>
      <c r="G86" s="9" t="s">
        <v>104</v>
      </c>
      <c r="H86" s="3" t="s">
        <v>114</v>
      </c>
      <c r="I86" s="9" t="s">
        <v>114</v>
      </c>
    </row>
    <row r="87" customFormat="false" ht="15" hidden="false" customHeight="false" outlineLevel="0" collapsed="false">
      <c r="A87" s="17" t="s">
        <v>339</v>
      </c>
      <c r="B87" s="3" t="s">
        <v>340</v>
      </c>
      <c r="C87" s="24" t="n">
        <v>500</v>
      </c>
      <c r="G87" s="9" t="s">
        <v>341</v>
      </c>
      <c r="H87" s="3" t="s">
        <v>342</v>
      </c>
      <c r="I87" s="9" t="s">
        <v>114</v>
      </c>
    </row>
    <row r="88" customFormat="false" ht="15" hidden="false" customHeight="false" outlineLevel="0" collapsed="false">
      <c r="A88" s="17" t="s">
        <v>343</v>
      </c>
      <c r="B88" s="3" t="s">
        <v>344</v>
      </c>
      <c r="C88" s="24" t="n">
        <v>1500</v>
      </c>
      <c r="G88" s="9" t="s">
        <v>104</v>
      </c>
      <c r="H88" s="3" t="s">
        <v>345</v>
      </c>
      <c r="I88" s="9" t="s">
        <v>114</v>
      </c>
    </row>
    <row r="89" customFormat="false" ht="15" hidden="false" customHeight="false" outlineLevel="0" collapsed="false">
      <c r="A89" s="17" t="s">
        <v>346</v>
      </c>
      <c r="B89" s="3" t="s">
        <v>347</v>
      </c>
      <c r="C89" s="26" t="n">
        <v>3</v>
      </c>
      <c r="G89" s="9" t="s">
        <v>348</v>
      </c>
      <c r="H89" s="3" t="s">
        <v>114</v>
      </c>
      <c r="I89" s="9" t="s">
        <v>114</v>
      </c>
    </row>
    <row r="90" customFormat="false" ht="15" hidden="false" customHeight="false" outlineLevel="0" collapsed="false">
      <c r="A90" s="17" t="s">
        <v>349</v>
      </c>
      <c r="B90" s="3" t="s">
        <v>350</v>
      </c>
      <c r="C90" s="26" t="n">
        <v>5</v>
      </c>
      <c r="G90" s="9" t="s">
        <v>348</v>
      </c>
      <c r="H90" s="3" t="s">
        <v>351</v>
      </c>
      <c r="I90" s="9" t="s">
        <v>114</v>
      </c>
    </row>
    <row r="92" customFormat="false" ht="15" hidden="false" customHeight="false" outlineLevel="0" collapsed="false">
      <c r="A92" s="20" t="s">
        <v>352</v>
      </c>
      <c r="B92" s="21"/>
      <c r="C92" s="21"/>
      <c r="D92" s="21"/>
      <c r="E92" s="21"/>
      <c r="F92" s="21"/>
      <c r="G92" s="21"/>
      <c r="H92" s="21"/>
      <c r="I92" s="21"/>
    </row>
    <row r="93" customFormat="false" ht="15" hidden="false" customHeight="false" outlineLevel="0" collapsed="false">
      <c r="A93" s="17" t="s">
        <v>353</v>
      </c>
      <c r="B93" s="3" t="s">
        <v>354</v>
      </c>
      <c r="C93" s="33" t="n">
        <v>4500</v>
      </c>
      <c r="G93" s="9" t="s">
        <v>355</v>
      </c>
      <c r="H93" s="3" t="s">
        <v>356</v>
      </c>
      <c r="I93" s="9" t="s">
        <v>165</v>
      </c>
    </row>
    <row r="94" customFormat="false" ht="15" hidden="false" customHeight="false" outlineLevel="0" collapsed="false">
      <c r="A94" s="17" t="s">
        <v>357</v>
      </c>
      <c r="B94" s="3" t="s">
        <v>358</v>
      </c>
      <c r="C94" s="33" t="n">
        <v>6500</v>
      </c>
      <c r="G94" s="9" t="s">
        <v>355</v>
      </c>
      <c r="H94" s="3" t="s">
        <v>359</v>
      </c>
      <c r="I94" s="9" t="s">
        <v>165</v>
      </c>
    </row>
    <row r="95" customFormat="false" ht="15" hidden="false" customHeight="false" outlineLevel="0" collapsed="false">
      <c r="A95" s="17" t="s">
        <v>360</v>
      </c>
      <c r="B95" s="3" t="s">
        <v>361</v>
      </c>
      <c r="C95" s="33" t="n">
        <v>10800</v>
      </c>
      <c r="G95" s="9" t="s">
        <v>355</v>
      </c>
      <c r="H95" s="3" t="s">
        <v>362</v>
      </c>
      <c r="I95" s="9" t="s">
        <v>114</v>
      </c>
    </row>
    <row r="96" customFormat="false" ht="15" hidden="false" customHeight="false" outlineLevel="0" collapsed="false">
      <c r="A96" s="17" t="s">
        <v>363</v>
      </c>
      <c r="B96" s="3" t="s">
        <v>364</v>
      </c>
      <c r="C96" s="33" t="n">
        <v>6000</v>
      </c>
      <c r="G96" s="9" t="s">
        <v>355</v>
      </c>
      <c r="H96" s="3" t="s">
        <v>365</v>
      </c>
      <c r="I96" s="9" t="s">
        <v>165</v>
      </c>
    </row>
    <row r="97" customFormat="false" ht="15" hidden="false" customHeight="false" outlineLevel="0" collapsed="false">
      <c r="A97" s="17" t="s">
        <v>366</v>
      </c>
      <c r="B97" s="3" t="s">
        <v>367</v>
      </c>
      <c r="C97" s="33" t="n">
        <v>4150</v>
      </c>
      <c r="G97" s="9" t="s">
        <v>355</v>
      </c>
      <c r="H97" s="3" t="s">
        <v>368</v>
      </c>
      <c r="I97" s="9" t="s">
        <v>165</v>
      </c>
    </row>
    <row r="98" customFormat="false" ht="15" hidden="false" customHeight="false" outlineLevel="0" collapsed="false">
      <c r="A98" s="17" t="s">
        <v>369</v>
      </c>
      <c r="B98" s="3" t="s">
        <v>370</v>
      </c>
      <c r="C98" s="25" t="n">
        <v>0.0225</v>
      </c>
      <c r="G98" s="9" t="s">
        <v>108</v>
      </c>
      <c r="H98" s="3" t="s">
        <v>371</v>
      </c>
      <c r="I98" s="9" t="s">
        <v>114</v>
      </c>
    </row>
    <row r="99" customFormat="false" ht="23.85" hidden="false" customHeight="false" outlineLevel="0" collapsed="false">
      <c r="A99" s="17" t="s">
        <v>372</v>
      </c>
      <c r="B99" s="3" t="s">
        <v>373</v>
      </c>
      <c r="C99" s="29" t="n">
        <v>6</v>
      </c>
      <c r="G99" s="9" t="s">
        <v>374</v>
      </c>
      <c r="H99" s="3" t="s">
        <v>375</v>
      </c>
      <c r="I99" s="9" t="s">
        <v>114</v>
      </c>
    </row>
    <row r="100" customFormat="false" ht="15" hidden="false" customHeight="false" outlineLevel="0" collapsed="false">
      <c r="A100" s="17" t="s">
        <v>376</v>
      </c>
      <c r="B100" s="3" t="s">
        <v>377</v>
      </c>
      <c r="C100" s="29" t="n">
        <v>0.7</v>
      </c>
      <c r="G100" s="9" t="s">
        <v>374</v>
      </c>
      <c r="H100" s="3" t="s">
        <v>378</v>
      </c>
      <c r="I100" s="9" t="s">
        <v>114</v>
      </c>
    </row>
    <row r="101" customFormat="false" ht="23.85" hidden="false" customHeight="false" outlineLevel="0" collapsed="false">
      <c r="A101" s="17" t="s">
        <v>379</v>
      </c>
      <c r="B101" s="3" t="s">
        <v>380</v>
      </c>
      <c r="C101" s="22" t="n">
        <v>1.4</v>
      </c>
      <c r="G101" s="9" t="s">
        <v>381</v>
      </c>
      <c r="H101" s="3" t="s">
        <v>382</v>
      </c>
      <c r="I101" s="9" t="s">
        <v>114</v>
      </c>
    </row>
    <row r="103" customFormat="false" ht="15" hidden="false" customHeight="false" outlineLevel="0" collapsed="false">
      <c r="A103" s="20" t="s">
        <v>383</v>
      </c>
      <c r="B103" s="21"/>
      <c r="C103" s="21"/>
      <c r="D103" s="21"/>
      <c r="E103" s="21"/>
      <c r="F103" s="21"/>
      <c r="G103" s="21"/>
      <c r="H103" s="21"/>
      <c r="I103" s="21"/>
    </row>
    <row r="104" customFormat="false" ht="15" hidden="false" customHeight="false" outlineLevel="0" collapsed="false">
      <c r="A104" s="17" t="s">
        <v>384</v>
      </c>
      <c r="B104" s="3" t="s">
        <v>385</v>
      </c>
      <c r="C104" s="24" t="n">
        <v>1000</v>
      </c>
      <c r="G104" s="9" t="s">
        <v>386</v>
      </c>
      <c r="H104" s="3" t="s">
        <v>387</v>
      </c>
      <c r="I104" s="9" t="s">
        <v>114</v>
      </c>
    </row>
    <row r="105" customFormat="false" ht="15" hidden="false" customHeight="false" outlineLevel="0" collapsed="false">
      <c r="A105" s="17" t="s">
        <v>388</v>
      </c>
      <c r="B105" s="3" t="s">
        <v>389</v>
      </c>
      <c r="C105" s="24" t="n">
        <v>1500</v>
      </c>
      <c r="G105" s="9" t="s">
        <v>386</v>
      </c>
      <c r="H105" s="3" t="s">
        <v>114</v>
      </c>
      <c r="I105" s="9" t="s">
        <v>114</v>
      </c>
    </row>
    <row r="106" customFormat="false" ht="15" hidden="false" customHeight="false" outlineLevel="0" collapsed="false">
      <c r="A106" s="17" t="s">
        <v>390</v>
      </c>
      <c r="B106" s="3" t="s">
        <v>391</v>
      </c>
      <c r="C106" s="24" t="n">
        <v>600</v>
      </c>
      <c r="G106" s="9" t="s">
        <v>386</v>
      </c>
      <c r="H106" s="3" t="s">
        <v>392</v>
      </c>
      <c r="I106" s="9" t="s">
        <v>114</v>
      </c>
    </row>
    <row r="107" customFormat="false" ht="15" hidden="false" customHeight="false" outlineLevel="0" collapsed="false">
      <c r="A107" s="17" t="s">
        <v>393</v>
      </c>
      <c r="B107" s="3" t="s">
        <v>394</v>
      </c>
      <c r="C107" s="33" t="n">
        <v>100</v>
      </c>
      <c r="G107" s="9" t="s">
        <v>395</v>
      </c>
      <c r="H107" s="3" t="s">
        <v>396</v>
      </c>
      <c r="I107" s="9" t="s">
        <v>221</v>
      </c>
    </row>
    <row r="108" customFormat="false" ht="15" hidden="false" customHeight="false" outlineLevel="0" collapsed="false">
      <c r="A108" s="17" t="s">
        <v>397</v>
      </c>
      <c r="B108" s="3" t="s">
        <v>398</v>
      </c>
      <c r="C108" s="33" t="n">
        <v>120</v>
      </c>
      <c r="G108" s="9" t="s">
        <v>355</v>
      </c>
      <c r="H108" s="3" t="s">
        <v>399</v>
      </c>
      <c r="I108" s="9" t="s">
        <v>165</v>
      </c>
    </row>
    <row r="109" customFormat="false" ht="15" hidden="false" customHeight="false" outlineLevel="0" collapsed="false">
      <c r="A109" s="17" t="s">
        <v>400</v>
      </c>
      <c r="B109" s="3" t="s">
        <v>401</v>
      </c>
      <c r="C109" s="33" t="n">
        <v>22</v>
      </c>
      <c r="G109" s="9" t="s">
        <v>402</v>
      </c>
      <c r="H109" s="3" t="s">
        <v>403</v>
      </c>
      <c r="I109" s="9" t="s">
        <v>165</v>
      </c>
    </row>
    <row r="110" customFormat="false" ht="15" hidden="false" customHeight="false" outlineLevel="0" collapsed="false">
      <c r="A110" s="17" t="s">
        <v>404</v>
      </c>
      <c r="B110" s="3" t="s">
        <v>405</v>
      </c>
      <c r="C110" s="33" t="n">
        <v>100</v>
      </c>
      <c r="G110" s="9" t="s">
        <v>406</v>
      </c>
      <c r="H110" s="3" t="s">
        <v>407</v>
      </c>
      <c r="I110" s="9" t="s">
        <v>165</v>
      </c>
    </row>
    <row r="111" customFormat="false" ht="15" hidden="false" customHeight="false" outlineLevel="0" collapsed="false">
      <c r="A111" s="17" t="s">
        <v>408</v>
      </c>
      <c r="B111" s="3" t="s">
        <v>409</v>
      </c>
      <c r="C111" s="33" t="n">
        <v>50</v>
      </c>
      <c r="G111" s="9" t="s">
        <v>402</v>
      </c>
      <c r="H111" s="3" t="s">
        <v>114</v>
      </c>
      <c r="I111" s="9" t="s">
        <v>114</v>
      </c>
    </row>
    <row r="112" customFormat="false" ht="15" hidden="false" customHeight="false" outlineLevel="0" collapsed="false">
      <c r="A112" s="17" t="s">
        <v>410</v>
      </c>
      <c r="B112" s="3" t="s">
        <v>411</v>
      </c>
      <c r="C112" s="24" t="n">
        <v>200</v>
      </c>
      <c r="G112" s="9" t="s">
        <v>386</v>
      </c>
      <c r="H112" s="3" t="s">
        <v>114</v>
      </c>
      <c r="I112" s="9" t="s">
        <v>114</v>
      </c>
    </row>
    <row r="113" customFormat="false" ht="15" hidden="false" customHeight="false" outlineLevel="0" collapsed="false">
      <c r="A113" s="17" t="s">
        <v>412</v>
      </c>
      <c r="B113" s="3" t="s">
        <v>413</v>
      </c>
      <c r="C113" s="24" t="n">
        <v>600</v>
      </c>
      <c r="G113" s="9" t="s">
        <v>386</v>
      </c>
      <c r="H113" s="3" t="s">
        <v>114</v>
      </c>
      <c r="I113" s="9" t="s">
        <v>114</v>
      </c>
    </row>
    <row r="115" customFormat="false" ht="15" hidden="false" customHeight="false" outlineLevel="0" collapsed="false">
      <c r="A115" s="20" t="s">
        <v>414</v>
      </c>
      <c r="B115" s="21"/>
      <c r="C115" s="21"/>
      <c r="D115" s="21"/>
      <c r="E115" s="21"/>
      <c r="F115" s="21"/>
      <c r="G115" s="21"/>
      <c r="H115" s="21"/>
      <c r="I115" s="21"/>
    </row>
    <row r="116" customFormat="false" ht="23.85" hidden="false" customHeight="false" outlineLevel="0" collapsed="false">
      <c r="A116" s="17" t="s">
        <v>415</v>
      </c>
      <c r="B116" s="3" t="s">
        <v>416</v>
      </c>
      <c r="C116" s="23" t="n">
        <v>70995</v>
      </c>
      <c r="G116" s="9" t="s">
        <v>320</v>
      </c>
      <c r="H116" s="3" t="s">
        <v>417</v>
      </c>
      <c r="I116" s="9" t="s">
        <v>165</v>
      </c>
    </row>
    <row r="117" customFormat="false" ht="15" hidden="false" customHeight="false" outlineLevel="0" collapsed="false">
      <c r="A117" s="17" t="s">
        <v>418</v>
      </c>
      <c r="B117" s="3" t="s">
        <v>419</v>
      </c>
      <c r="C117" s="25" t="n">
        <v>0.2</v>
      </c>
      <c r="G117" s="9" t="s">
        <v>108</v>
      </c>
      <c r="H117" s="3" t="s">
        <v>114</v>
      </c>
      <c r="I117" s="9" t="s">
        <v>114</v>
      </c>
    </row>
    <row r="118" customFormat="false" ht="15" hidden="false" customHeight="false" outlineLevel="0" collapsed="false">
      <c r="A118" s="17" t="s">
        <v>420</v>
      </c>
      <c r="B118" s="3" t="s">
        <v>421</v>
      </c>
      <c r="C118" s="24" t="n">
        <v>17500</v>
      </c>
      <c r="G118" s="9" t="s">
        <v>104</v>
      </c>
      <c r="H118" s="3" t="s">
        <v>422</v>
      </c>
      <c r="I118" s="9" t="s">
        <v>114</v>
      </c>
    </row>
    <row r="119" customFormat="false" ht="15" hidden="false" customHeight="false" outlineLevel="0" collapsed="false">
      <c r="A119" s="17" t="s">
        <v>423</v>
      </c>
      <c r="B119" s="3" t="s">
        <v>424</v>
      </c>
      <c r="C119" s="33" t="n">
        <v>4905</v>
      </c>
      <c r="G119" s="9" t="s">
        <v>177</v>
      </c>
      <c r="H119" s="3" t="s">
        <v>425</v>
      </c>
      <c r="I119" s="9" t="s">
        <v>165</v>
      </c>
    </row>
    <row r="120" customFormat="false" ht="15" hidden="false" customHeight="false" outlineLevel="0" collapsed="false">
      <c r="A120" s="17" t="s">
        <v>426</v>
      </c>
      <c r="B120" s="3" t="s">
        <v>427</v>
      </c>
      <c r="C120" s="33" t="n">
        <v>21901</v>
      </c>
      <c r="G120" s="9" t="s">
        <v>177</v>
      </c>
      <c r="H120" s="3" t="s">
        <v>428</v>
      </c>
      <c r="I120" s="9" t="s">
        <v>165</v>
      </c>
    </row>
    <row r="121" customFormat="false" ht="15" hidden="false" customHeight="false" outlineLevel="0" collapsed="false">
      <c r="A121" s="17" t="s">
        <v>429</v>
      </c>
      <c r="B121" s="3" t="s">
        <v>430</v>
      </c>
      <c r="C121" s="24" t="n">
        <v>2320</v>
      </c>
      <c r="G121" s="9" t="s">
        <v>104</v>
      </c>
      <c r="H121" s="3" t="s">
        <v>431</v>
      </c>
      <c r="I121" s="9" t="s">
        <v>165</v>
      </c>
    </row>
    <row r="122" customFormat="false" ht="15" hidden="false" customHeight="false" outlineLevel="0" collapsed="false">
      <c r="A122" s="17" t="s">
        <v>432</v>
      </c>
      <c r="B122" s="3" t="s">
        <v>433</v>
      </c>
      <c r="C122" s="24" t="n">
        <v>5000</v>
      </c>
      <c r="G122" s="9" t="s">
        <v>104</v>
      </c>
      <c r="H122" s="3" t="s">
        <v>114</v>
      </c>
      <c r="I122" s="9" t="s">
        <v>114</v>
      </c>
    </row>
    <row r="123" customFormat="false" ht="15" hidden="false" customHeight="false" outlineLevel="0" collapsed="false">
      <c r="A123" s="17" t="s">
        <v>434</v>
      </c>
      <c r="B123" s="3" t="s">
        <v>435</v>
      </c>
      <c r="C123" s="28" t="n">
        <v>680</v>
      </c>
      <c r="G123" s="9" t="s">
        <v>436</v>
      </c>
      <c r="H123" s="3" t="s">
        <v>437</v>
      </c>
      <c r="I123" s="9" t="s">
        <v>165</v>
      </c>
    </row>
    <row r="124" customFormat="false" ht="15" hidden="false" customHeight="false" outlineLevel="0" collapsed="false">
      <c r="A124" s="17" t="s">
        <v>438</v>
      </c>
      <c r="B124" s="3" t="s">
        <v>439</v>
      </c>
      <c r="C124" s="25" t="n">
        <v>0.03</v>
      </c>
      <c r="G124" s="9" t="s">
        <v>108</v>
      </c>
      <c r="H124" s="3" t="s">
        <v>114</v>
      </c>
      <c r="I124" s="9" t="s">
        <v>114</v>
      </c>
    </row>
    <row r="125" customFormat="false" ht="23.85" hidden="false" customHeight="false" outlineLevel="0" collapsed="false">
      <c r="A125" s="17" t="s">
        <v>440</v>
      </c>
      <c r="B125" s="3" t="s">
        <v>441</v>
      </c>
      <c r="C125" s="23" t="n">
        <v>24</v>
      </c>
      <c r="G125" s="9" t="s">
        <v>442</v>
      </c>
      <c r="H125" s="3" t="s">
        <v>443</v>
      </c>
      <c r="I125" s="9" t="s">
        <v>114</v>
      </c>
    </row>
    <row r="126" customFormat="false" ht="15" hidden="false" customHeight="false" outlineLevel="0" collapsed="false">
      <c r="A126" s="17" t="s">
        <v>444</v>
      </c>
      <c r="B126" s="3" t="s">
        <v>445</v>
      </c>
      <c r="C126" s="26" t="n">
        <v>45</v>
      </c>
      <c r="G126" s="9" t="s">
        <v>442</v>
      </c>
      <c r="H126" s="3" t="s">
        <v>446</v>
      </c>
      <c r="I126" s="9" t="s">
        <v>114</v>
      </c>
    </row>
    <row r="127" customFormat="false" ht="15" hidden="false" customHeight="false" outlineLevel="0" collapsed="false">
      <c r="A127" s="17" t="s">
        <v>447</v>
      </c>
      <c r="B127" s="3" t="s">
        <v>448</v>
      </c>
      <c r="C127" s="22" t="n">
        <v>0.4</v>
      </c>
      <c r="G127" s="9" t="s">
        <v>449</v>
      </c>
      <c r="H127" s="3" t="s">
        <v>450</v>
      </c>
      <c r="I127" s="9" t="s">
        <v>114</v>
      </c>
    </row>
    <row r="128" customFormat="false" ht="15" hidden="false" customHeight="false" outlineLevel="0" collapsed="false">
      <c r="A128" s="17" t="s">
        <v>451</v>
      </c>
      <c r="B128" s="3" t="s">
        <v>452</v>
      </c>
      <c r="C128" s="22" t="n">
        <v>1</v>
      </c>
      <c r="G128" s="9" t="s">
        <v>449</v>
      </c>
      <c r="H128" s="3" t="s">
        <v>453</v>
      </c>
      <c r="I128" s="9" t="s">
        <v>114</v>
      </c>
    </row>
    <row r="129" customFormat="false" ht="15" hidden="false" customHeight="false" outlineLevel="0" collapsed="false">
      <c r="A129" s="17" t="s">
        <v>454</v>
      </c>
      <c r="B129" s="3" t="s">
        <v>455</v>
      </c>
      <c r="C129" s="22" t="n">
        <v>41.5</v>
      </c>
      <c r="G129" s="9" t="s">
        <v>456</v>
      </c>
      <c r="H129" s="3" t="s">
        <v>457</v>
      </c>
      <c r="I129" s="9" t="s">
        <v>165</v>
      </c>
    </row>
    <row r="130" customFormat="false" ht="15" hidden="false" customHeight="false" outlineLevel="0" collapsed="false">
      <c r="A130" s="17" t="s">
        <v>458</v>
      </c>
      <c r="B130" s="3" t="s">
        <v>459</v>
      </c>
      <c r="C130" s="29" t="n">
        <v>0.8</v>
      </c>
      <c r="G130" s="9" t="s">
        <v>249</v>
      </c>
      <c r="H130" s="3" t="s">
        <v>460</v>
      </c>
      <c r="I130" s="9" t="s">
        <v>114</v>
      </c>
    </row>
    <row r="131" customFormat="false" ht="15" hidden="false" customHeight="false" outlineLevel="0" collapsed="false">
      <c r="A131" s="17" t="s">
        <v>461</v>
      </c>
      <c r="B131" s="3" t="s">
        <v>462</v>
      </c>
      <c r="C131" s="32" t="n">
        <v>9</v>
      </c>
      <c r="G131" s="9" t="s">
        <v>463</v>
      </c>
      <c r="H131" s="3" t="s">
        <v>464</v>
      </c>
      <c r="I131" s="9" t="s">
        <v>114</v>
      </c>
    </row>
    <row r="132" customFormat="false" ht="15" hidden="false" customHeight="false" outlineLevel="0" collapsed="false">
      <c r="A132" s="17" t="s">
        <v>465</v>
      </c>
      <c r="B132" s="3" t="s">
        <v>466</v>
      </c>
      <c r="C132" s="29" t="n">
        <v>0.3</v>
      </c>
      <c r="G132" s="9" t="s">
        <v>249</v>
      </c>
      <c r="H132" s="3" t="s">
        <v>467</v>
      </c>
      <c r="I132" s="9" t="s">
        <v>114</v>
      </c>
    </row>
    <row r="133" customFormat="false" ht="15" hidden="false" customHeight="false" outlineLevel="0" collapsed="false">
      <c r="A133" s="17" t="s">
        <v>468</v>
      </c>
      <c r="B133" s="3" t="s">
        <v>469</v>
      </c>
      <c r="C133" s="25" t="n">
        <v>0.05</v>
      </c>
      <c r="G133" s="9" t="s">
        <v>108</v>
      </c>
      <c r="H133" s="3" t="s">
        <v>114</v>
      </c>
      <c r="I133" s="9" t="s">
        <v>114</v>
      </c>
    </row>
    <row r="134" customFormat="false" ht="15" hidden="false" customHeight="false" outlineLevel="0" collapsed="false">
      <c r="A134" s="17" t="s">
        <v>470</v>
      </c>
      <c r="B134" s="3" t="s">
        <v>471</v>
      </c>
      <c r="C134" s="26" t="n">
        <v>50</v>
      </c>
      <c r="G134" s="9" t="s">
        <v>309</v>
      </c>
      <c r="H134" s="3" t="s">
        <v>472</v>
      </c>
      <c r="I134" s="9" t="s">
        <v>114</v>
      </c>
    </row>
    <row r="135" customFormat="false" ht="15" hidden="false" customHeight="false" outlineLevel="0" collapsed="false">
      <c r="A135" s="17" t="s">
        <v>473</v>
      </c>
      <c r="B135" s="3" t="s">
        <v>474</v>
      </c>
      <c r="C135" s="26" t="n">
        <v>30</v>
      </c>
      <c r="G135" s="9" t="s">
        <v>309</v>
      </c>
      <c r="H135" s="3" t="s">
        <v>114</v>
      </c>
      <c r="I135" s="9" t="s">
        <v>114</v>
      </c>
    </row>
    <row r="136" customFormat="false" ht="15" hidden="false" customHeight="false" outlineLevel="0" collapsed="false">
      <c r="A136" s="17" t="s">
        <v>475</v>
      </c>
      <c r="B136" s="3" t="s">
        <v>476</v>
      </c>
      <c r="C136" s="24" t="n">
        <v>600</v>
      </c>
      <c r="G136" s="9" t="s">
        <v>386</v>
      </c>
      <c r="H136" s="3" t="s">
        <v>477</v>
      </c>
      <c r="I136" s="9" t="s">
        <v>114</v>
      </c>
    </row>
    <row r="137" customFormat="false" ht="15" hidden="false" customHeight="false" outlineLevel="0" collapsed="false">
      <c r="A137" s="17" t="s">
        <v>478</v>
      </c>
      <c r="B137" s="3" t="s">
        <v>479</v>
      </c>
      <c r="C137" s="26" t="n">
        <v>2</v>
      </c>
      <c r="G137" s="9" t="s">
        <v>480</v>
      </c>
      <c r="H137" s="3" t="s">
        <v>114</v>
      </c>
      <c r="I137" s="9" t="s">
        <v>114</v>
      </c>
    </row>
    <row r="138" customFormat="false" ht="15" hidden="false" customHeight="false" outlineLevel="0" collapsed="false">
      <c r="A138" s="17" t="s">
        <v>481</v>
      </c>
      <c r="B138" s="3" t="s">
        <v>482</v>
      </c>
      <c r="C138" s="22" t="n">
        <v>1.54</v>
      </c>
      <c r="G138" s="9" t="s">
        <v>483</v>
      </c>
      <c r="H138" s="3" t="s">
        <v>484</v>
      </c>
      <c r="I138" s="9" t="s">
        <v>114</v>
      </c>
    </row>
    <row r="139" customFormat="false" ht="15" hidden="false" customHeight="false" outlineLevel="0" collapsed="false">
      <c r="A139" s="17" t="s">
        <v>485</v>
      </c>
      <c r="B139" s="3" t="s">
        <v>486</v>
      </c>
      <c r="C139" s="22" t="n">
        <v>1.54</v>
      </c>
      <c r="G139" s="9" t="s">
        <v>483</v>
      </c>
      <c r="H139" s="3" t="s">
        <v>487</v>
      </c>
      <c r="I139" s="9" t="s">
        <v>114</v>
      </c>
    </row>
    <row r="141" customFormat="false" ht="15" hidden="false" customHeight="false" outlineLevel="0" collapsed="false">
      <c r="A141" s="20" t="s">
        <v>488</v>
      </c>
      <c r="B141" s="21"/>
      <c r="C141" s="21"/>
      <c r="D141" s="21"/>
      <c r="E141" s="21"/>
      <c r="F141" s="21"/>
      <c r="G141" s="21"/>
      <c r="H141" s="21"/>
      <c r="I141" s="21"/>
    </row>
    <row r="142" customFormat="false" ht="15" hidden="false" customHeight="false" outlineLevel="0" collapsed="false">
      <c r="A142" s="17" t="s">
        <v>489</v>
      </c>
      <c r="B142" s="3" t="s">
        <v>490</v>
      </c>
      <c r="C142" s="29" t="n">
        <v>1028.5</v>
      </c>
      <c r="G142" s="9" t="s">
        <v>104</v>
      </c>
      <c r="H142" s="3" t="s">
        <v>491</v>
      </c>
      <c r="I142" s="9" t="s">
        <v>165</v>
      </c>
    </row>
    <row r="143" customFormat="false" ht="15" hidden="false" customHeight="false" outlineLevel="0" collapsed="false">
      <c r="A143" s="17" t="s">
        <v>492</v>
      </c>
      <c r="B143" s="3" t="s">
        <v>493</v>
      </c>
      <c r="C143" s="29" t="n">
        <v>11977.79</v>
      </c>
      <c r="G143" s="9" t="s">
        <v>104</v>
      </c>
      <c r="H143" s="3" t="s">
        <v>494</v>
      </c>
      <c r="I143" s="9" t="s">
        <v>165</v>
      </c>
    </row>
    <row r="144" customFormat="false" ht="15" hidden="false" customHeight="false" outlineLevel="0" collapsed="false">
      <c r="A144" s="17" t="s">
        <v>495</v>
      </c>
      <c r="B144" s="3" t="s">
        <v>496</v>
      </c>
      <c r="C144" s="28" t="n">
        <v>3500</v>
      </c>
      <c r="G144" s="9" t="s">
        <v>320</v>
      </c>
      <c r="H144" s="3" t="s">
        <v>497</v>
      </c>
      <c r="I144" s="9" t="s">
        <v>114</v>
      </c>
    </row>
    <row r="145" customFormat="false" ht="15" hidden="false" customHeight="false" outlineLevel="0" collapsed="false">
      <c r="A145" s="17" t="s">
        <v>498</v>
      </c>
      <c r="B145" s="3" t="s">
        <v>499</v>
      </c>
      <c r="C145" s="28" t="n">
        <v>15999</v>
      </c>
      <c r="G145" s="9" t="s">
        <v>320</v>
      </c>
      <c r="H145" s="3" t="s">
        <v>500</v>
      </c>
      <c r="I145" s="9" t="s">
        <v>165</v>
      </c>
    </row>
    <row r="146" customFormat="false" ht="15" hidden="false" customHeight="false" outlineLevel="0" collapsed="false">
      <c r="A146" s="17" t="s">
        <v>501</v>
      </c>
      <c r="B146" s="3" t="s">
        <v>502</v>
      </c>
      <c r="C146" s="24" t="n">
        <v>1500</v>
      </c>
      <c r="G146" s="9" t="s">
        <v>104</v>
      </c>
      <c r="H146" s="3" t="s">
        <v>503</v>
      </c>
      <c r="I146" s="9" t="s">
        <v>114</v>
      </c>
    </row>
    <row r="147" customFormat="false" ht="15" hidden="false" customHeight="false" outlineLevel="0" collapsed="false">
      <c r="A147" s="17" t="s">
        <v>504</v>
      </c>
      <c r="B147" s="3" t="s">
        <v>505</v>
      </c>
      <c r="C147" s="24" t="n">
        <v>3000</v>
      </c>
      <c r="G147" s="9" t="s">
        <v>104</v>
      </c>
      <c r="H147" s="3" t="s">
        <v>114</v>
      </c>
      <c r="I147" s="9" t="s">
        <v>114</v>
      </c>
    </row>
    <row r="148" customFormat="false" ht="15" hidden="false" customHeight="false" outlineLevel="0" collapsed="false">
      <c r="A148" s="17" t="s">
        <v>506</v>
      </c>
      <c r="B148" s="3" t="s">
        <v>507</v>
      </c>
      <c r="C148" s="24" t="n">
        <v>2000</v>
      </c>
      <c r="G148" s="9" t="s">
        <v>104</v>
      </c>
      <c r="H148" s="3" t="s">
        <v>114</v>
      </c>
      <c r="I148" s="9" t="s">
        <v>114</v>
      </c>
    </row>
    <row r="149" customFormat="false" ht="15" hidden="false" customHeight="false" outlineLevel="0" collapsed="false">
      <c r="A149" s="17" t="s">
        <v>508</v>
      </c>
      <c r="B149" s="3" t="s">
        <v>509</v>
      </c>
      <c r="C149" s="26" t="n">
        <v>2500</v>
      </c>
      <c r="G149" s="9" t="s">
        <v>510</v>
      </c>
      <c r="H149" s="3" t="s">
        <v>511</v>
      </c>
      <c r="I149" s="9" t="s">
        <v>114</v>
      </c>
    </row>
    <row r="150" customFormat="false" ht="15" hidden="false" customHeight="false" outlineLevel="0" collapsed="false">
      <c r="A150" s="17" t="s">
        <v>512</v>
      </c>
      <c r="B150" s="3" t="s">
        <v>513</v>
      </c>
      <c r="C150" s="32" t="n">
        <v>0.5</v>
      </c>
      <c r="G150" s="9" t="s">
        <v>135</v>
      </c>
      <c r="H150" s="3" t="s">
        <v>114</v>
      </c>
      <c r="I150" s="9" t="s">
        <v>114</v>
      </c>
    </row>
    <row r="151" customFormat="false" ht="15" hidden="false" customHeight="false" outlineLevel="0" collapsed="false">
      <c r="A151" s="17" t="s">
        <v>514</v>
      </c>
      <c r="B151" s="3" t="s">
        <v>515</v>
      </c>
      <c r="C151" s="29" t="n">
        <v>0.2</v>
      </c>
      <c r="G151" s="9" t="s">
        <v>245</v>
      </c>
      <c r="H151" s="3" t="s">
        <v>114</v>
      </c>
      <c r="I151" s="9" t="s">
        <v>114</v>
      </c>
    </row>
    <row r="152" customFormat="false" ht="15" hidden="false" customHeight="false" outlineLevel="0" collapsed="false">
      <c r="A152" s="17" t="s">
        <v>516</v>
      </c>
      <c r="B152" s="3" t="s">
        <v>517</v>
      </c>
      <c r="C152" s="25" t="n">
        <v>0.02</v>
      </c>
      <c r="G152" s="9" t="s">
        <v>108</v>
      </c>
      <c r="H152" s="3" t="s">
        <v>114</v>
      </c>
      <c r="I152" s="9" t="s">
        <v>114</v>
      </c>
    </row>
    <row r="153" customFormat="false" ht="15" hidden="false" customHeight="false" outlineLevel="0" collapsed="false">
      <c r="A153" s="17" t="s">
        <v>518</v>
      </c>
      <c r="B153" s="3" t="s">
        <v>519</v>
      </c>
      <c r="C153" s="25" t="n">
        <v>0.005</v>
      </c>
      <c r="G153" s="9" t="s">
        <v>108</v>
      </c>
      <c r="H153" s="3" t="s">
        <v>114</v>
      </c>
      <c r="I153" s="9" t="s">
        <v>114</v>
      </c>
    </row>
    <row r="154" customFormat="false" ht="15" hidden="false" customHeight="false" outlineLevel="0" collapsed="false">
      <c r="A154" s="17" t="s">
        <v>520</v>
      </c>
      <c r="B154" s="3" t="s">
        <v>521</v>
      </c>
      <c r="C154" s="32" t="n">
        <v>1.7</v>
      </c>
      <c r="G154" s="9" t="s">
        <v>463</v>
      </c>
      <c r="H154" s="3" t="s">
        <v>522</v>
      </c>
      <c r="I154" s="9" t="s">
        <v>114</v>
      </c>
    </row>
    <row r="155" customFormat="false" ht="15" hidden="false" customHeight="false" outlineLevel="0" collapsed="false">
      <c r="A155" s="17" t="s">
        <v>523</v>
      </c>
      <c r="B155" s="3" t="s">
        <v>524</v>
      </c>
      <c r="C155" s="26" t="n">
        <v>50</v>
      </c>
      <c r="G155" s="9" t="s">
        <v>309</v>
      </c>
      <c r="H155" s="3" t="s">
        <v>525</v>
      </c>
      <c r="I155" s="9" t="s">
        <v>114</v>
      </c>
    </row>
    <row r="156" customFormat="false" ht="15" hidden="false" customHeight="false" outlineLevel="0" collapsed="false">
      <c r="A156" s="17" t="s">
        <v>526</v>
      </c>
      <c r="B156" s="3" t="s">
        <v>527</v>
      </c>
      <c r="C156" s="24" t="n">
        <v>300</v>
      </c>
      <c r="G156" s="9" t="s">
        <v>386</v>
      </c>
      <c r="H156" s="3" t="s">
        <v>114</v>
      </c>
      <c r="I156" s="9" t="s">
        <v>114</v>
      </c>
    </row>
    <row r="158" customFormat="false" ht="15" hidden="false" customHeight="false" outlineLevel="0" collapsed="false">
      <c r="A158" s="20" t="s">
        <v>528</v>
      </c>
      <c r="B158" s="21"/>
      <c r="C158" s="21"/>
      <c r="D158" s="21"/>
      <c r="E158" s="21"/>
      <c r="F158" s="21"/>
      <c r="G158" s="21"/>
      <c r="H158" s="21"/>
      <c r="I158" s="21"/>
    </row>
    <row r="159" customFormat="false" ht="15" hidden="false" customHeight="false" outlineLevel="0" collapsed="false">
      <c r="A159" s="17" t="s">
        <v>529</v>
      </c>
      <c r="B159" s="3" t="s">
        <v>530</v>
      </c>
      <c r="C159" s="26" t="n">
        <v>22500</v>
      </c>
      <c r="G159" s="9" t="s">
        <v>320</v>
      </c>
      <c r="H159" s="3" t="s">
        <v>531</v>
      </c>
      <c r="I159" s="9" t="s">
        <v>114</v>
      </c>
    </row>
    <row r="160" customFormat="false" ht="15" hidden="false" customHeight="false" outlineLevel="0" collapsed="false">
      <c r="A160" s="17" t="s">
        <v>532</v>
      </c>
      <c r="B160" s="3" t="s">
        <v>533</v>
      </c>
      <c r="C160" s="26" t="n">
        <v>10000</v>
      </c>
      <c r="G160" s="9" t="s">
        <v>320</v>
      </c>
      <c r="H160" s="3" t="s">
        <v>534</v>
      </c>
      <c r="I160" s="9" t="s">
        <v>114</v>
      </c>
    </row>
    <row r="161" customFormat="false" ht="15" hidden="false" customHeight="false" outlineLevel="0" collapsed="false">
      <c r="A161" s="17" t="s">
        <v>535</v>
      </c>
      <c r="B161" s="3" t="s">
        <v>536</v>
      </c>
      <c r="C161" s="24" t="n">
        <v>0</v>
      </c>
      <c r="D161" s="24" t="n">
        <v>5000</v>
      </c>
      <c r="E161" s="24" t="n">
        <v>18300</v>
      </c>
      <c r="F161" s="24" t="n">
        <v>18300</v>
      </c>
      <c r="G161" s="9" t="s">
        <v>104</v>
      </c>
      <c r="H161" s="3" t="s">
        <v>537</v>
      </c>
      <c r="I161" s="9" t="s">
        <v>114</v>
      </c>
    </row>
    <row r="162" customFormat="false" ht="15" hidden="false" customHeight="false" outlineLevel="0" collapsed="false">
      <c r="A162" s="17" t="s">
        <v>538</v>
      </c>
      <c r="B162" s="3" t="s">
        <v>539</v>
      </c>
      <c r="C162" s="26" t="n">
        <v>3</v>
      </c>
      <c r="G162" s="9" t="s">
        <v>348</v>
      </c>
      <c r="H162" s="3" t="s">
        <v>114</v>
      </c>
      <c r="I162" s="9" t="s">
        <v>114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5" t="s">
        <v>540</v>
      </c>
    </row>
    <row r="2" customFormat="false" ht="39.75" hidden="false" customHeight="true" outlineLevel="0" collapsed="false">
      <c r="A2" s="6" t="s">
        <v>541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7" t="s">
        <v>78</v>
      </c>
      <c r="B4" s="7" t="s">
        <v>542</v>
      </c>
      <c r="C4" s="34" t="n">
        <f aca="false">Ipoteze!C$9</f>
        <v>100</v>
      </c>
      <c r="D4" s="34" t="n">
        <f aca="false">Ipoteze!D$9</f>
        <v>1000</v>
      </c>
      <c r="E4" s="34" t="n">
        <f aca="false">Ipoteze!E$9</f>
        <v>5000</v>
      </c>
      <c r="F4" s="34" t="n">
        <f aca="false">Ipoteze!F$9</f>
        <v>20000</v>
      </c>
      <c r="G4" s="7" t="s">
        <v>543</v>
      </c>
    </row>
    <row r="6" customFormat="false" ht="15" hidden="false" customHeight="false" outlineLevel="0" collapsed="false">
      <c r="A6" s="20" t="s">
        <v>544</v>
      </c>
      <c r="B6" s="21"/>
      <c r="C6" s="21"/>
      <c r="D6" s="21"/>
      <c r="E6" s="21"/>
      <c r="F6" s="21"/>
      <c r="G6" s="21"/>
    </row>
    <row r="7" customFormat="false" ht="15" hidden="false" customHeight="false" outlineLevel="0" collapsed="false">
      <c r="A7" s="17" t="s">
        <v>97</v>
      </c>
      <c r="B7" s="9" t="s">
        <v>545</v>
      </c>
      <c r="C7" s="27" t="n">
        <f aca="false">Ipoteze!C$9</f>
        <v>100</v>
      </c>
      <c r="D7" s="27" t="n">
        <f aca="false">Ipoteze!D$9</f>
        <v>1000</v>
      </c>
      <c r="E7" s="27" t="n">
        <f aca="false">Ipoteze!E$9</f>
        <v>5000</v>
      </c>
      <c r="F7" s="27" t="n">
        <f aca="false">Ipoteze!F$9</f>
        <v>20000</v>
      </c>
    </row>
    <row r="8" customFormat="false" ht="15" hidden="false" customHeight="false" outlineLevel="0" collapsed="false">
      <c r="A8" s="17" t="s">
        <v>546</v>
      </c>
      <c r="B8" s="9" t="s">
        <v>547</v>
      </c>
      <c r="C8" s="27" t="n">
        <f aca="false">Ipoteze!C$13</f>
        <v>2</v>
      </c>
      <c r="D8" s="27" t="n">
        <f aca="false">Ipoteze!D$13</f>
        <v>1</v>
      </c>
      <c r="E8" s="27" t="n">
        <f aca="false">Ipoteze!E$13</f>
        <v>1</v>
      </c>
      <c r="F8" s="27" t="n">
        <f aca="false">Ipoteze!F$13</f>
        <v>1</v>
      </c>
    </row>
    <row r="9" customFormat="false" ht="15" hidden="false" customHeight="false" outlineLevel="0" collapsed="false">
      <c r="A9" s="17" t="s">
        <v>548</v>
      </c>
      <c r="B9" s="9" t="s">
        <v>549</v>
      </c>
      <c r="C9" s="35" t="n">
        <f aca="false">C7*Ipoteze!$C$10*Ipoteze!$C$7</f>
        <v>126990</v>
      </c>
      <c r="D9" s="35" t="n">
        <f aca="false">D7*Ipoteze!$C$10*Ipoteze!$C$7</f>
        <v>1269900</v>
      </c>
      <c r="E9" s="35" t="n">
        <f aca="false">E7*Ipoteze!$C$10*Ipoteze!$C$7</f>
        <v>6349500</v>
      </c>
      <c r="F9" s="35" t="n">
        <f aca="false">F7*Ipoteze!$C$10*Ipoteze!$C$7</f>
        <v>25398000</v>
      </c>
    </row>
    <row r="10" customFormat="false" ht="15" hidden="false" customHeight="false" outlineLevel="0" collapsed="false">
      <c r="A10" s="17" t="s">
        <v>550</v>
      </c>
      <c r="B10" s="9" t="s">
        <v>551</v>
      </c>
      <c r="C10" s="27" t="n">
        <f aca="false">IF(C9&gt;Ipoteze!$C$12,1,0)</f>
        <v>0</v>
      </c>
      <c r="D10" s="27" t="n">
        <f aca="false">IF(D9&gt;Ipoteze!$C$12,1,0)</f>
        <v>1</v>
      </c>
      <c r="E10" s="27" t="n">
        <f aca="false">IF(E9&gt;Ipoteze!$C$12,1,0)</f>
        <v>1</v>
      </c>
      <c r="F10" s="27" t="n">
        <f aca="false">IF(F9&gt;Ipoteze!$C$12,1,0)</f>
        <v>1</v>
      </c>
      <c r="G10" s="17" t="s">
        <v>552</v>
      </c>
    </row>
    <row r="11" customFormat="false" ht="15" hidden="false" customHeight="false" outlineLevel="0" collapsed="false">
      <c r="A11" s="17" t="s">
        <v>553</v>
      </c>
      <c r="B11" s="9" t="s">
        <v>554</v>
      </c>
      <c r="C11" s="36" t="n">
        <f aca="false">Ipoteze!$C$11*(1-C10)</f>
        <v>0.21</v>
      </c>
      <c r="D11" s="36" t="n">
        <f aca="false">Ipoteze!$C$11*(1-D10)</f>
        <v>0</v>
      </c>
      <c r="E11" s="36" t="n">
        <f aca="false">Ipoteze!$C$11*(1-E10)</f>
        <v>0</v>
      </c>
      <c r="F11" s="36" t="n">
        <f aca="false">Ipoteze!$C$11*(1-F10)</f>
        <v>0</v>
      </c>
    </row>
    <row r="12" customFormat="false" ht="15" hidden="false" customHeight="false" outlineLevel="0" collapsed="false">
      <c r="A12" s="17" t="s">
        <v>555</v>
      </c>
      <c r="B12" s="9" t="s">
        <v>556</v>
      </c>
      <c r="C12" s="37" t="n">
        <f aca="false">Ipoteze!$C$93*(1+Ipoteze!$C$98)*12/Ipoteze!$C$7/Ipoteze!$C$19</f>
        <v>7.23694558037119</v>
      </c>
      <c r="D12" s="37" t="n">
        <f aca="false">Ipoteze!$C$93*(1+Ipoteze!$C$98)*12/Ipoteze!$C$7/Ipoteze!$C$19</f>
        <v>7.23694558037119</v>
      </c>
      <c r="E12" s="37" t="n">
        <f aca="false">Ipoteze!$C$93*(1+Ipoteze!$C$98)*12/Ipoteze!$C$7/Ipoteze!$C$19</f>
        <v>7.23694558037119</v>
      </c>
      <c r="F12" s="37" t="n">
        <f aca="false">Ipoteze!$C$93*(1+Ipoteze!$C$98)*12/Ipoteze!$C$7/Ipoteze!$C$19</f>
        <v>7.23694558037119</v>
      </c>
    </row>
    <row r="13" customFormat="false" ht="15" hidden="false" customHeight="false" outlineLevel="0" collapsed="false">
      <c r="A13" s="17" t="s">
        <v>557</v>
      </c>
      <c r="B13" s="9" t="s">
        <v>558</v>
      </c>
      <c r="C13" s="37" t="n">
        <f aca="false">IF(C8=1,(Ipoteze!C$27+Ipoteze!C$28+Ipoteze!C$29+Ipoteze!C$30)*Ipoteze!$C$8,Ipoteze!$C$31*Ipoteze!$C$8+(Ipoteze!$C$32+Ipoteze!$C$33)/(1+Ipoteze!$C$11)/Ipoteze!$C$7)</f>
        <v>26.0913</v>
      </c>
      <c r="D13" s="37" t="n">
        <f aca="false">IF(D8=1,(Ipoteze!D$27+Ipoteze!D$28+Ipoteze!D$29+Ipoteze!D$30)*Ipoteze!$C$8,Ipoteze!$C$31*Ipoteze!$C$8+(Ipoteze!$C$32+Ipoteze!$C$33)/(1+Ipoteze!$C$11)/Ipoteze!$C$7)</f>
        <v>16.7562</v>
      </c>
      <c r="E13" s="37" t="n">
        <f aca="false">IF(E8=1,(Ipoteze!E$27+Ipoteze!E$28+Ipoteze!E$29+Ipoteze!E$30)*Ipoteze!$C$8,Ipoteze!$C$31*Ipoteze!$C$8+(Ipoteze!$C$32+Ipoteze!$C$33)/(1+Ipoteze!$C$11)/Ipoteze!$C$7)</f>
        <v>15.3642</v>
      </c>
      <c r="F13" s="37" t="n">
        <f aca="false">IF(F8=1,(Ipoteze!F$27+Ipoteze!F$28+Ipoteze!F$29+Ipoteze!F$30)*Ipoteze!$C$8,Ipoteze!$C$31*Ipoteze!$C$8+(Ipoteze!$C$32+Ipoteze!$C$33)/(1+Ipoteze!$C$11)/Ipoteze!$C$7)</f>
        <v>14.2158</v>
      </c>
    </row>
    <row r="14" customFormat="false" ht="15" hidden="false" customHeight="false" outlineLevel="0" collapsed="false">
      <c r="A14" s="17" t="s">
        <v>559</v>
      </c>
      <c r="B14" s="9" t="s">
        <v>560</v>
      </c>
      <c r="C14" s="37" t="n">
        <f aca="false">Ipoteze!C$34*Ipoteze!$C$8</f>
        <v>3.0015</v>
      </c>
      <c r="D14" s="37" t="n">
        <f aca="false">Ipoteze!D$34*Ipoteze!$C$8</f>
        <v>1.305</v>
      </c>
      <c r="E14" s="37" t="n">
        <f aca="false">Ipoteze!E$34*Ipoteze!$C$8</f>
        <v>1.218</v>
      </c>
      <c r="F14" s="37" t="n">
        <f aca="false">Ipoteze!F$34*Ipoteze!$C$8</f>
        <v>1.1745</v>
      </c>
    </row>
    <row r="15" customFormat="false" ht="15" hidden="false" customHeight="false" outlineLevel="0" collapsed="false">
      <c r="A15" s="17" t="s">
        <v>561</v>
      </c>
      <c r="B15" s="9" t="s">
        <v>562</v>
      </c>
      <c r="C15" s="37" t="n">
        <f aca="false">Ipoteze!C$36*Ipoteze!$C$8</f>
        <v>5.22</v>
      </c>
      <c r="D15" s="37" t="n">
        <f aca="false">Ipoteze!D$36*Ipoteze!$C$8</f>
        <v>1.914</v>
      </c>
      <c r="E15" s="37" t="n">
        <f aca="false">Ipoteze!E$36*Ipoteze!$C$8</f>
        <v>1.218</v>
      </c>
      <c r="F15" s="37" t="n">
        <f aca="false">Ipoteze!F$36*Ipoteze!$C$8</f>
        <v>0.783</v>
      </c>
    </row>
    <row r="16" customFormat="false" ht="15" hidden="false" customHeight="false" outlineLevel="0" collapsed="false">
      <c r="A16" s="17" t="s">
        <v>563</v>
      </c>
      <c r="B16" s="9" t="s">
        <v>564</v>
      </c>
      <c r="C16" s="37" t="n">
        <f aca="false">Ipoteze!C$35+Ipoteze!C$37+Ipoteze!C$38</f>
        <v>5.7</v>
      </c>
      <c r="D16" s="37" t="n">
        <f aca="false">Ipoteze!D$35+Ipoteze!D$37+Ipoteze!D$38</f>
        <v>4</v>
      </c>
      <c r="E16" s="37" t="n">
        <f aca="false">Ipoteze!E$35+Ipoteze!E$37+Ipoteze!E$38</f>
        <v>3</v>
      </c>
      <c r="F16" s="37" t="n">
        <f aca="false">Ipoteze!F$35+Ipoteze!F$37+Ipoteze!F$38</f>
        <v>2.55</v>
      </c>
    </row>
    <row r="17" customFormat="false" ht="15" hidden="false" customHeight="false" outlineLevel="0" collapsed="false">
      <c r="A17" s="17" t="s">
        <v>565</v>
      </c>
      <c r="B17" s="9" t="s">
        <v>566</v>
      </c>
      <c r="C17" s="37" t="n">
        <f aca="false">C13+C14+C15+C16</f>
        <v>40.0128</v>
      </c>
      <c r="D17" s="37" t="n">
        <f aca="false">D13+D14+D15+D16</f>
        <v>23.9752</v>
      </c>
      <c r="E17" s="37" t="n">
        <f aca="false">E13+E14+E15+E16</f>
        <v>20.8002</v>
      </c>
      <c r="F17" s="37" t="n">
        <f aca="false">F13+F14+F15+F16</f>
        <v>18.7233</v>
      </c>
    </row>
    <row r="18" customFormat="false" ht="15" hidden="false" customHeight="false" outlineLevel="0" collapsed="false">
      <c r="A18" s="17" t="s">
        <v>567</v>
      </c>
      <c r="B18" s="9" t="s">
        <v>568</v>
      </c>
      <c r="C18" s="37" t="n">
        <f aca="false">C17*((1+Ipoteze!C$42)*(1+Ipoteze!$C$43)-1)</f>
        <v>4.8815616</v>
      </c>
      <c r="D18" s="37" t="n">
        <f aca="false">D17*((1+Ipoteze!D$42)*(1+Ipoteze!$C$43)-1)</f>
        <v>1.94678624</v>
      </c>
      <c r="E18" s="37" t="n">
        <f aca="false">E17*((1+Ipoteze!E$42)*(1+Ipoteze!$C$43)-1)</f>
        <v>1.26465216</v>
      </c>
      <c r="F18" s="37" t="n">
        <f aca="false">F17*((1+Ipoteze!F$42)*(1+Ipoteze!$C$43)-1)</f>
        <v>0.94739898</v>
      </c>
    </row>
    <row r="19" customFormat="false" ht="15" hidden="false" customHeight="false" outlineLevel="0" collapsed="false">
      <c r="A19" s="17" t="s">
        <v>569</v>
      </c>
      <c r="B19" s="9" t="s">
        <v>570</v>
      </c>
      <c r="C19" s="37" t="n">
        <f aca="false">Ipoteze!C$40+Ipoteze!C$41+Ipoteze!C$39</f>
        <v>28.5</v>
      </c>
      <c r="D19" s="37" t="n">
        <f aca="false">Ipoteze!D$40+Ipoteze!D$41+Ipoteze!D$39</f>
        <v>17.6</v>
      </c>
      <c r="E19" s="37" t="n">
        <f aca="false">Ipoteze!E$40+Ipoteze!E$41+Ipoteze!E$39</f>
        <v>10.8</v>
      </c>
      <c r="F19" s="37" t="n">
        <f aca="false">Ipoteze!F$40+Ipoteze!F$41+Ipoteze!F$39</f>
        <v>7.8</v>
      </c>
    </row>
    <row r="20" customFormat="false" ht="15" hidden="false" customHeight="false" outlineLevel="0" collapsed="false">
      <c r="A20" s="17" t="s">
        <v>571</v>
      </c>
      <c r="B20" s="38" t="s">
        <v>572</v>
      </c>
      <c r="C20" s="39" t="n">
        <f aca="false">C17+C18+C19</f>
        <v>73.3943616</v>
      </c>
      <c r="D20" s="39" t="n">
        <f aca="false">D17+D18+D19</f>
        <v>43.52198624</v>
      </c>
      <c r="E20" s="39" t="n">
        <f aca="false">E17+E18+E19</f>
        <v>32.86485216</v>
      </c>
      <c r="F20" s="39" t="n">
        <f aca="false">F17+F18+F19</f>
        <v>27.47069898</v>
      </c>
    </row>
    <row r="21" customFormat="false" ht="15" hidden="false" customHeight="false" outlineLevel="0" collapsed="false">
      <c r="A21" s="17" t="s">
        <v>573</v>
      </c>
      <c r="B21" s="9" t="s">
        <v>574</v>
      </c>
      <c r="C21" s="37" t="n">
        <f aca="false">IF(C8=1,(Ipoteze!$C$51*Ipoteze!C$53+(Ipoteze!$C$47+Ipoteze!$C$48+Ipoteze!$C$49*Ipoteze!$C$50)*Ipoteze!C$22/C7)*Ipoteze!$C$8*(1+Ipoteze!C$42)*(1+Ipoteze!$C$43),0)</f>
        <v>0</v>
      </c>
      <c r="D21" s="37" t="n">
        <f aca="false">IF(D8=1,(Ipoteze!$C$51*Ipoteze!D$53+(Ipoteze!$C$47+Ipoteze!$C$48+Ipoteze!$C$49*Ipoteze!$C$50)*Ipoteze!D$22/D7)*Ipoteze!$C$8*(1+Ipoteze!D$42)*(1+Ipoteze!$C$43),0)</f>
        <v>0.94075687728</v>
      </c>
      <c r="E21" s="37" t="n">
        <f aca="false">IF(E8=1,(Ipoteze!$C$51*Ipoteze!E$53+(Ipoteze!$C$47+Ipoteze!$C$48+Ipoteze!$C$49*Ipoteze!$C$50)*Ipoteze!E$22/E7)*Ipoteze!$C$8*(1+Ipoteze!E$42)*(1+Ipoteze!$C$43),0)</f>
        <v>0.649763083008</v>
      </c>
      <c r="F21" s="37" t="n">
        <f aca="false">IF(F8=1,(Ipoteze!$C$51*Ipoteze!F$53+(Ipoteze!$C$47+Ipoteze!$C$48+Ipoteze!$C$49*Ipoteze!$C$50)*Ipoteze!F$22/F7)*Ipoteze!$C$8*(1+Ipoteze!F$42)*(1+Ipoteze!$C$43),0)</f>
        <v>0.488104200396</v>
      </c>
    </row>
    <row r="22" customFormat="false" ht="15" hidden="false" customHeight="false" outlineLevel="0" collapsed="false">
      <c r="A22" s="17" t="s">
        <v>575</v>
      </c>
      <c r="B22" s="9" t="s">
        <v>576</v>
      </c>
      <c r="C22" s="37" t="n">
        <f aca="false">IF(C8=1,Ipoteze!C$54,0)</f>
        <v>0</v>
      </c>
      <c r="D22" s="37" t="n">
        <f aca="false">IF(D8=1,Ipoteze!D$54,0)</f>
        <v>4</v>
      </c>
      <c r="E22" s="37" t="n">
        <f aca="false">IF(E8=1,Ipoteze!E$54,0)</f>
        <v>2.5</v>
      </c>
      <c r="F22" s="37" t="n">
        <f aca="false">IF(F8=1,Ipoteze!F$54,0)</f>
        <v>1.8</v>
      </c>
    </row>
    <row r="23" customFormat="false" ht="15" hidden="false" customHeight="false" outlineLevel="0" collapsed="false">
      <c r="A23" s="17" t="s">
        <v>577</v>
      </c>
      <c r="B23" s="11" t="s">
        <v>578</v>
      </c>
      <c r="C23" s="40" t="n">
        <f aca="false">IF(Ipoteze!$C$14=1,C21,C22)</f>
        <v>0</v>
      </c>
      <c r="D23" s="40" t="n">
        <f aca="false">IF(Ipoteze!$C$14=1,D21,D22)</f>
        <v>4</v>
      </c>
      <c r="E23" s="40" t="n">
        <f aca="false">IF(Ipoteze!$C$14=1,E21,E22)</f>
        <v>2.5</v>
      </c>
      <c r="F23" s="40" t="n">
        <f aca="false">IF(Ipoteze!$C$14=1,F21,F22)</f>
        <v>1.8</v>
      </c>
    </row>
    <row r="24" customFormat="false" ht="15" hidden="false" customHeight="false" outlineLevel="0" collapsed="false">
      <c r="A24" s="17" t="s">
        <v>579</v>
      </c>
      <c r="B24" s="9" t="s">
        <v>580</v>
      </c>
      <c r="C24" s="37" t="n">
        <f aca="false">Ipoteze!C$57+Ipoteze!$C$58*Ipoteze!$C$8*Ipoteze!C$23*Ipoteze!C$22/C7</f>
        <v>4.99</v>
      </c>
      <c r="D24" s="37" t="n">
        <f aca="false">Ipoteze!D$57+Ipoteze!$C$58*Ipoteze!$C$8*Ipoteze!D$23*Ipoteze!D$22/D7</f>
        <v>4.34</v>
      </c>
      <c r="E24" s="37" t="n">
        <f aca="false">Ipoteze!E$57+Ipoteze!$C$58*Ipoteze!$C$8*Ipoteze!E$23*Ipoteze!E$22/E7</f>
        <v>2.996</v>
      </c>
      <c r="F24" s="37" t="n">
        <f aca="false">Ipoteze!F$57+Ipoteze!$C$58*Ipoteze!$C$8*Ipoteze!F$23*Ipoteze!F$22/F7</f>
        <v>2.211</v>
      </c>
    </row>
    <row r="25" customFormat="false" ht="15" hidden="false" customHeight="false" outlineLevel="0" collapsed="false">
      <c r="A25" s="17" t="s">
        <v>581</v>
      </c>
      <c r="B25" s="11" t="s">
        <v>582</v>
      </c>
      <c r="C25" s="40" t="n">
        <f aca="false">(Ipoteze!C$55+Ipoteze!C$56+C24)*(1+Ipoteze!C$42)*(1+Ipoteze!$C$44)</f>
        <v>71.46414</v>
      </c>
      <c r="D25" s="40" t="n">
        <f aca="false">(Ipoteze!D$55+Ipoteze!D$56+D24)*(1+Ipoteze!D$42)*(1+Ipoteze!$C$44)</f>
        <v>31.842824</v>
      </c>
      <c r="E25" s="40" t="n">
        <f aca="false">(Ipoteze!E$55+Ipoteze!E$56+E24)*(1+Ipoteze!E$42)*(1+Ipoteze!$C$44)</f>
        <v>23.4767104</v>
      </c>
      <c r="F25" s="40" t="n">
        <f aca="false">(Ipoteze!F$55+Ipoteze!F$56+F24)*(1+Ipoteze!F$42)*(1+Ipoteze!$C$44)</f>
        <v>18.7363798</v>
      </c>
    </row>
    <row r="26" customFormat="false" ht="15" hidden="false" customHeight="false" outlineLevel="0" collapsed="false">
      <c r="A26" s="17" t="s">
        <v>583</v>
      </c>
      <c r="B26" s="9" t="s">
        <v>584</v>
      </c>
      <c r="C26" s="37" t="n">
        <f aca="false">Ipoteze!$C$129/(1+Ipoteze!$C$11)/Ipoteze!$C$7</f>
        <v>6.72500405120726</v>
      </c>
      <c r="D26" s="37" t="n">
        <f aca="false">Ipoteze!$C$129/(1+Ipoteze!$C$11)/Ipoteze!$C$7</f>
        <v>6.72500405120726</v>
      </c>
      <c r="E26" s="37" t="n">
        <f aca="false">Ipoteze!$C$129/(1+Ipoteze!$C$11)/Ipoteze!$C$7</f>
        <v>6.72500405120726</v>
      </c>
      <c r="F26" s="37" t="n">
        <f aca="false">Ipoteze!$C$129/(1+Ipoteze!$C$11)/Ipoteze!$C$7</f>
        <v>6.72500405120726</v>
      </c>
      <c r="G26" s="17" t="s">
        <v>585</v>
      </c>
    </row>
    <row r="27" customFormat="false" ht="15" hidden="false" customHeight="false" outlineLevel="0" collapsed="false">
      <c r="A27" s="17" t="s">
        <v>586</v>
      </c>
      <c r="B27" s="9" t="s">
        <v>587</v>
      </c>
      <c r="C27" s="37" t="n">
        <f aca="false">(Ipoteze!$C$127*C26+Ipoteze!$C$130+Ipoteze!$C$131*Ipoteze!$C$125/60*Ipoteze!$C$101/Ipoteze!$C$7+Ipoteze!$C$132)*(1+Ipoteze!$C$133)</f>
        <v>5.01714876033058</v>
      </c>
      <c r="D27" s="37" t="n">
        <f aca="false">(Ipoteze!$C$127*D26+Ipoteze!$C$130+Ipoteze!$C$131*Ipoteze!$C$125/60*Ipoteze!$C$101/Ipoteze!$C$7+Ipoteze!$C$132)*(1+Ipoteze!$C$133)</f>
        <v>5.01714876033058</v>
      </c>
      <c r="E27" s="37" t="n">
        <f aca="false">(Ipoteze!$C$127*E26+Ipoteze!$C$130+Ipoteze!$C$131*Ipoteze!$C$125/60*Ipoteze!$C$101/Ipoteze!$C$7+Ipoteze!$C$132)*(1+Ipoteze!$C$133)</f>
        <v>5.01714876033058</v>
      </c>
      <c r="F27" s="37" t="n">
        <f aca="false">(Ipoteze!$C$127*F26+Ipoteze!$C$130+Ipoteze!$C$131*Ipoteze!$C$125/60*Ipoteze!$C$101/Ipoteze!$C$7+Ipoteze!$C$132)*(1+Ipoteze!$C$133)</f>
        <v>5.01714876033058</v>
      </c>
    </row>
    <row r="28" customFormat="false" ht="15" hidden="false" customHeight="false" outlineLevel="0" collapsed="false">
      <c r="A28" s="17" t="s">
        <v>588</v>
      </c>
      <c r="B28" s="11" t="s">
        <v>589</v>
      </c>
      <c r="C28" s="40" t="n">
        <f aca="false">C27+C24+Ipoteze!$C$61</f>
        <v>10.5071487603306</v>
      </c>
      <c r="D28" s="40" t="n">
        <f aca="false">D27+D24+Ipoteze!$C$61</f>
        <v>9.85714876033058</v>
      </c>
      <c r="E28" s="40" t="n">
        <f aca="false">E27+E24+Ipoteze!$C$61</f>
        <v>8.51314876033058</v>
      </c>
      <c r="F28" s="40" t="n">
        <f aca="false">F27+F24+Ipoteze!$C$61</f>
        <v>7.72814876033058</v>
      </c>
    </row>
    <row r="29" customFormat="false" ht="15" hidden="false" customHeight="false" outlineLevel="0" collapsed="false">
      <c r="A29" s="17" t="s">
        <v>590</v>
      </c>
      <c r="B29" s="9" t="s">
        <v>591</v>
      </c>
      <c r="C29" s="37" t="n">
        <f aca="false">IF(C8=1,(Ipoteze!C$28+Ipoteze!C$29+Ipoteze!C$30)*Ipoteze!$C$8,0)</f>
        <v>0</v>
      </c>
      <c r="D29" s="37" t="n">
        <f aca="false">IF(D8=1,(Ipoteze!D$28+Ipoteze!D$29+Ipoteze!D$30)*Ipoteze!$C$8,0)</f>
        <v>8.0562</v>
      </c>
      <c r="E29" s="37" t="n">
        <f aca="false">IF(E8=1,(Ipoteze!E$28+Ipoteze!E$29+Ipoteze!E$30)*Ipoteze!$C$8,0)</f>
        <v>7.0992</v>
      </c>
      <c r="F29" s="37" t="n">
        <f aca="false">IF(F8=1,(Ipoteze!F$28+Ipoteze!F$29+Ipoteze!F$30)*Ipoteze!$C$8,0)</f>
        <v>6.3858</v>
      </c>
    </row>
    <row r="30" customFormat="false" ht="15" hidden="false" customHeight="false" outlineLevel="0" collapsed="false">
      <c r="A30" s="17" t="s">
        <v>592</v>
      </c>
      <c r="B30" s="11" t="s">
        <v>593</v>
      </c>
      <c r="C30" s="40" t="n">
        <f aca="false">IF(C8=1,Ipoteze!$C$151+(Ipoteze!$C$152-Ipoteze!$C$153)*C29,0)</f>
        <v>0</v>
      </c>
      <c r="D30" s="40" t="n">
        <f aca="false">IF(D8=1,Ipoteze!$C$151+(Ipoteze!$C$152-Ipoteze!$C$153)*D29,0)</f>
        <v>0.320843</v>
      </c>
      <c r="E30" s="40" t="n">
        <f aca="false">IF(E8=1,Ipoteze!$C$151+(Ipoteze!$C$152-Ipoteze!$C$153)*E29,0)</f>
        <v>0.306488</v>
      </c>
      <c r="F30" s="40" t="n">
        <f aca="false">IF(F8=1,Ipoteze!$C$151+(Ipoteze!$C$152-Ipoteze!$C$153)*F29,0)</f>
        <v>0.295787</v>
      </c>
    </row>
    <row r="32" customFormat="false" ht="15" hidden="false" customHeight="false" outlineLevel="0" collapsed="false">
      <c r="A32" s="20" t="s">
        <v>594</v>
      </c>
      <c r="B32" s="21"/>
      <c r="C32" s="21"/>
      <c r="D32" s="21"/>
      <c r="E32" s="21"/>
      <c r="F32" s="21"/>
      <c r="G32" s="21"/>
    </row>
    <row r="33" customFormat="false" ht="15" hidden="false" customHeight="false" outlineLevel="0" collapsed="false">
      <c r="A33" s="17" t="s">
        <v>595</v>
      </c>
      <c r="B33" s="9" t="s">
        <v>596</v>
      </c>
      <c r="C33" s="27" t="n">
        <f aca="false">C7*Ipoteze!C$66/60</f>
        <v>75</v>
      </c>
      <c r="D33" s="27" t="n">
        <f aca="false">D7*Ipoteze!D$66/60</f>
        <v>416.666666666667</v>
      </c>
      <c r="E33" s="27" t="n">
        <f aca="false">E7*Ipoteze!E$66/60</f>
        <v>1666.66666666667</v>
      </c>
      <c r="F33" s="27" t="n">
        <f aca="false">F7*Ipoteze!F$66/60</f>
        <v>5000</v>
      </c>
    </row>
    <row r="34" customFormat="false" ht="15" hidden="false" customHeight="false" outlineLevel="0" collapsed="false">
      <c r="A34" s="17" t="s">
        <v>597</v>
      </c>
      <c r="B34" s="9" t="s">
        <v>598</v>
      </c>
      <c r="C34" s="41" t="n">
        <f aca="false">C33/Ipoteze!$C$19</f>
        <v>0.0501336898395722</v>
      </c>
      <c r="D34" s="41" t="n">
        <f aca="false">D33/Ipoteze!$C$19</f>
        <v>0.278520499108734</v>
      </c>
      <c r="E34" s="41" t="n">
        <f aca="false">E33/Ipoteze!$C$19</f>
        <v>1.11408199643494</v>
      </c>
      <c r="F34" s="41" t="n">
        <f aca="false">F33/Ipoteze!$C$19</f>
        <v>3.34224598930481</v>
      </c>
    </row>
    <row r="35" customFormat="false" ht="15" hidden="false" customHeight="false" outlineLevel="0" collapsed="false">
      <c r="A35" s="17" t="s">
        <v>599</v>
      </c>
      <c r="B35" s="9" t="s">
        <v>600</v>
      </c>
      <c r="C35" s="41" t="n">
        <f aca="false">IF(C34&lt;0.5,C34,CEILING(C34,0.5))</f>
        <v>0.0501336898395722</v>
      </c>
      <c r="D35" s="41" t="n">
        <f aca="false">IF(D34&lt;0.5,D34,CEILING(D34,0.5))</f>
        <v>0.278520499108734</v>
      </c>
      <c r="E35" s="41" t="n">
        <f aca="false">IF(E34&lt;0.5,E34,CEILING(E34,0.5))</f>
        <v>1.5</v>
      </c>
      <c r="F35" s="41" t="n">
        <f aca="false">IF(F34&lt;0.5,F34,CEILING(F34,0.5))</f>
        <v>3.5</v>
      </c>
    </row>
    <row r="36" customFormat="false" ht="15" hidden="false" customHeight="false" outlineLevel="0" collapsed="false">
      <c r="A36" s="17" t="s">
        <v>601</v>
      </c>
      <c r="B36" s="9" t="s">
        <v>602</v>
      </c>
      <c r="C36" s="27" t="n">
        <f aca="false">MAX(1,CEILING(C34,1))</f>
        <v>1</v>
      </c>
      <c r="D36" s="27" t="n">
        <f aca="false">MAX(1,CEILING(D34,1))</f>
        <v>1</v>
      </c>
      <c r="E36" s="27" t="n">
        <f aca="false">MAX(1,CEILING(E34,1))</f>
        <v>2</v>
      </c>
      <c r="F36" s="27" t="n">
        <f aca="false">MAX(1,CEILING(F34,1))</f>
        <v>4</v>
      </c>
    </row>
    <row r="37" customFormat="false" ht="15" hidden="false" customHeight="false" outlineLevel="0" collapsed="false">
      <c r="A37" s="17" t="s">
        <v>603</v>
      </c>
      <c r="B37" s="9" t="s">
        <v>604</v>
      </c>
      <c r="C37" s="27" t="n">
        <f aca="false">MAX(1,CEILING(C7*Ipoteze!$C$67/60/Ipoteze!$C$19/Ipoteze!$C$21,1))</f>
        <v>1</v>
      </c>
      <c r="D37" s="27" t="n">
        <f aca="false">MAX(1,CEILING(D7*Ipoteze!$C$67/60/Ipoteze!$C$19/Ipoteze!$C$21,1))</f>
        <v>1</v>
      </c>
      <c r="E37" s="27" t="n">
        <f aca="false">MAX(1,CEILING(E7*Ipoteze!$C$67/60/Ipoteze!$C$19/Ipoteze!$C$21,1))</f>
        <v>1</v>
      </c>
      <c r="F37" s="27" t="n">
        <f aca="false">MAX(1,CEILING(F7*Ipoteze!$C$67/60/Ipoteze!$C$19/Ipoteze!$C$21,1))</f>
        <v>2</v>
      </c>
    </row>
    <row r="38" customFormat="false" ht="15" hidden="false" customHeight="false" outlineLevel="0" collapsed="false">
      <c r="A38" s="17" t="s">
        <v>605</v>
      </c>
      <c r="B38" s="9" t="s">
        <v>606</v>
      </c>
      <c r="C38" s="27" t="n">
        <f aca="false">CEILING(C35,1)+Ipoteze!C$74+Ipoteze!C$75</f>
        <v>1</v>
      </c>
      <c r="D38" s="27" t="n">
        <f aca="false">CEILING(D35,1)+Ipoteze!D$74+Ipoteze!D$75</f>
        <v>1</v>
      </c>
      <c r="E38" s="27" t="n">
        <f aca="false">CEILING(E35,1)+Ipoteze!E$74+Ipoteze!E$75</f>
        <v>3</v>
      </c>
      <c r="F38" s="27" t="n">
        <f aca="false">CEILING(F35,1)+Ipoteze!F$74+Ipoteze!F$75</f>
        <v>6</v>
      </c>
    </row>
    <row r="39" customFormat="false" ht="15" hidden="false" customHeight="false" outlineLevel="0" collapsed="false">
      <c r="A39" s="17" t="s">
        <v>607</v>
      </c>
      <c r="B39" s="9" t="s">
        <v>608</v>
      </c>
      <c r="C39" s="42" t="n">
        <f aca="false">IF(C7&lt;Ipoteze!$C$24,Ipoteze!$C$79,Ipoteze!$C$80)*Ipoteze!$C$8</f>
        <v>1565.13</v>
      </c>
      <c r="D39" s="42" t="n">
        <f aca="false">IF(D7&lt;Ipoteze!$C$24,Ipoteze!$C$79,Ipoteze!$C$80)*Ipoteze!$C$8</f>
        <v>6437.13</v>
      </c>
      <c r="E39" s="42" t="n">
        <f aca="false">IF(E7&lt;Ipoteze!$C$24,Ipoteze!$C$79,Ipoteze!$C$80)*Ipoteze!$C$8</f>
        <v>6437.13</v>
      </c>
      <c r="F39" s="42" t="n">
        <f aca="false">IF(F7&lt;Ipoteze!$C$24,Ipoteze!$C$79,Ipoteze!$C$80)*Ipoteze!$C$8</f>
        <v>6437.13</v>
      </c>
    </row>
    <row r="40" customFormat="false" ht="15" hidden="false" customHeight="false" outlineLevel="0" collapsed="false">
      <c r="A40" s="17" t="s">
        <v>609</v>
      </c>
      <c r="B40" s="9" t="s">
        <v>610</v>
      </c>
      <c r="C40" s="42" t="n">
        <f aca="false">Ipoteze!C$23*Ipoteze!$C$59</f>
        <v>200</v>
      </c>
      <c r="D40" s="42" t="n">
        <f aca="false">Ipoteze!D$23*Ipoteze!$C$59</f>
        <v>500</v>
      </c>
      <c r="E40" s="42" t="n">
        <f aca="false">Ipoteze!E$23*Ipoteze!$C$59</f>
        <v>500</v>
      </c>
      <c r="F40" s="42" t="n">
        <f aca="false">Ipoteze!F$23*Ipoteze!$C$59</f>
        <v>500</v>
      </c>
    </row>
    <row r="41" customFormat="false" ht="15" hidden="false" customHeight="false" outlineLevel="0" collapsed="false">
      <c r="A41" s="17" t="s">
        <v>611</v>
      </c>
      <c r="B41" s="9" t="s">
        <v>612</v>
      </c>
      <c r="C41" s="27" t="n">
        <f aca="false">Ipoteze!$C$18/Ipoteze!$C$125*Ipoteze!$C$15</f>
        <v>3740</v>
      </c>
      <c r="D41" s="27" t="n">
        <f aca="false">Ipoteze!$C$18/Ipoteze!$C$125*Ipoteze!$C$15</f>
        <v>3740</v>
      </c>
      <c r="E41" s="27" t="n">
        <f aca="false">Ipoteze!$C$18/Ipoteze!$C$125*Ipoteze!$C$15</f>
        <v>3740</v>
      </c>
      <c r="F41" s="27" t="n">
        <f aca="false">Ipoteze!$C$18/Ipoteze!$C$125*Ipoteze!$C$15</f>
        <v>3740</v>
      </c>
    </row>
    <row r="42" customFormat="false" ht="15" hidden="false" customHeight="false" outlineLevel="0" collapsed="false">
      <c r="A42" s="17" t="s">
        <v>613</v>
      </c>
      <c r="B42" s="9" t="s">
        <v>614</v>
      </c>
      <c r="C42" s="27" t="n">
        <f aca="false">CEILING(C7/(C41*Ipoteze!$C$20),1)</f>
        <v>1</v>
      </c>
      <c r="D42" s="27" t="n">
        <f aca="false">CEILING(D7/(D41*Ipoteze!$C$20),1)</f>
        <v>1</v>
      </c>
      <c r="E42" s="27" t="n">
        <f aca="false">CEILING(E7/(E41*Ipoteze!$C$20),1)</f>
        <v>1</v>
      </c>
      <c r="F42" s="27" t="n">
        <f aca="false">CEILING(F7/(F41*Ipoteze!$C$20),1)</f>
        <v>3</v>
      </c>
    </row>
    <row r="43" customFormat="false" ht="15" hidden="false" customHeight="false" outlineLevel="0" collapsed="false">
      <c r="A43" s="17" t="s">
        <v>615</v>
      </c>
      <c r="B43" s="9" t="s">
        <v>616</v>
      </c>
      <c r="C43" s="27" t="n">
        <f aca="false">MIN(Ipoteze!$C$20,CEILING(C7/(C41*C42),1))</f>
        <v>1</v>
      </c>
      <c r="D43" s="27" t="n">
        <f aca="false">MIN(Ipoteze!$C$20,CEILING(D7/(D41*D42),1))</f>
        <v>1</v>
      </c>
      <c r="E43" s="27" t="n">
        <f aca="false">MIN(Ipoteze!$C$20,CEILING(E7/(E41*E42),1))</f>
        <v>2</v>
      </c>
      <c r="F43" s="27" t="n">
        <f aca="false">MIN(Ipoteze!$C$20,CEILING(F7/(F41*F42),1))</f>
        <v>2</v>
      </c>
    </row>
    <row r="44" customFormat="false" ht="15" hidden="false" customHeight="false" outlineLevel="0" collapsed="false">
      <c r="A44" s="17" t="s">
        <v>617</v>
      </c>
      <c r="B44" s="9" t="s">
        <v>618</v>
      </c>
      <c r="C44" s="27" t="n">
        <f aca="false">C43*CEILING(C42/Ipoteze!$C$137,1)</f>
        <v>1</v>
      </c>
      <c r="D44" s="27" t="n">
        <f aca="false">D43*CEILING(D42/Ipoteze!$C$137,1)</f>
        <v>1</v>
      </c>
      <c r="E44" s="27" t="n">
        <f aca="false">E43*CEILING(E42/Ipoteze!$C$137,1)</f>
        <v>2</v>
      </c>
      <c r="F44" s="27" t="n">
        <f aca="false">F43*CEILING(F42/Ipoteze!$C$137,1)</f>
        <v>4</v>
      </c>
    </row>
    <row r="45" customFormat="false" ht="15" hidden="false" customHeight="false" outlineLevel="0" collapsed="false">
      <c r="A45" s="17" t="s">
        <v>619</v>
      </c>
      <c r="B45" s="9" t="s">
        <v>620</v>
      </c>
      <c r="C45" s="36" t="n">
        <f aca="false">C7/(C41*C42*C43)</f>
        <v>0.0267379679144385</v>
      </c>
      <c r="D45" s="36" t="n">
        <f aca="false">D7/(D41*D42*D43)</f>
        <v>0.267379679144385</v>
      </c>
      <c r="E45" s="36" t="n">
        <f aca="false">E7/(E41*E42*E43)</f>
        <v>0.668449197860963</v>
      </c>
      <c r="F45" s="36" t="n">
        <f aca="false">F7/(F41*F42*F43)</f>
        <v>0.89126559714795</v>
      </c>
    </row>
    <row r="46" customFormat="false" ht="15" hidden="false" customHeight="false" outlineLevel="0" collapsed="false">
      <c r="A46" s="17" t="s">
        <v>621</v>
      </c>
      <c r="B46" s="9" t="s">
        <v>622</v>
      </c>
      <c r="C46" s="42" t="n">
        <f aca="false">Ipoteze!$C$116*Ipoteze!$C$8*(1+Ipoteze!$C$117)</f>
        <v>74118.78</v>
      </c>
      <c r="D46" s="42" t="n">
        <f aca="false">Ipoteze!$C$116*Ipoteze!$C$8*(1+Ipoteze!$C$117)</f>
        <v>74118.78</v>
      </c>
      <c r="E46" s="42" t="n">
        <f aca="false">Ipoteze!$C$116*Ipoteze!$C$8*(1+Ipoteze!$C$117)</f>
        <v>74118.78</v>
      </c>
      <c r="F46" s="42" t="n">
        <f aca="false">Ipoteze!$C$116*Ipoteze!$C$8*(1+Ipoteze!$C$117)</f>
        <v>74118.78</v>
      </c>
    </row>
    <row r="47" customFormat="false" ht="15" hidden="false" customHeight="false" outlineLevel="0" collapsed="false">
      <c r="A47" s="17" t="s">
        <v>623</v>
      </c>
      <c r="B47" s="9" t="s">
        <v>624</v>
      </c>
      <c r="C47" s="42" t="n">
        <f aca="false">(Ipoteze!$C$119+Ipoteze!$C$120)/Ipoteze!$C$7+Ipoteze!$C$121+Ipoteze!$C$122</f>
        <v>12576.0784313725</v>
      </c>
      <c r="D47" s="42" t="n">
        <f aca="false">(Ipoteze!$C$119+Ipoteze!$C$120)/Ipoteze!$C$7+Ipoteze!$C$121+Ipoteze!$C$122</f>
        <v>12576.0784313725</v>
      </c>
      <c r="E47" s="42" t="n">
        <f aca="false">(Ipoteze!$C$119+Ipoteze!$C$120)/Ipoteze!$C$7+Ipoteze!$C$121+Ipoteze!$C$122</f>
        <v>12576.0784313725</v>
      </c>
      <c r="F47" s="42" t="n">
        <f aca="false">(Ipoteze!$C$119+Ipoteze!$C$120)/Ipoteze!$C$7+Ipoteze!$C$121+Ipoteze!$C$122</f>
        <v>12576.0784313725</v>
      </c>
    </row>
    <row r="48" customFormat="false" ht="15" hidden="false" customHeight="false" outlineLevel="0" collapsed="false">
      <c r="A48" s="17" t="s">
        <v>625</v>
      </c>
      <c r="B48" s="9" t="s">
        <v>626</v>
      </c>
      <c r="C48" s="42" t="n">
        <f aca="false">C42*(C46+Ipoteze!$C$118)+C47</f>
        <v>104194.858431373</v>
      </c>
      <c r="D48" s="42" t="n">
        <f aca="false">D42*(D46+Ipoteze!$C$118)+D47</f>
        <v>104194.858431373</v>
      </c>
      <c r="E48" s="42" t="n">
        <f aca="false">E42*(E46+Ipoteze!$C$118)+E47</f>
        <v>104194.858431373</v>
      </c>
      <c r="F48" s="42" t="n">
        <f aca="false">F42*(F46+Ipoteze!$C$118)+F47</f>
        <v>287432.418431373</v>
      </c>
    </row>
    <row r="49" customFormat="false" ht="15" hidden="false" customHeight="false" outlineLevel="0" collapsed="false">
      <c r="A49" s="17" t="s">
        <v>627</v>
      </c>
      <c r="B49" s="9" t="s">
        <v>628</v>
      </c>
      <c r="C49" s="27" t="n">
        <f aca="false">Ipoteze!$C$18/(Ipoteze!$C$52/Ipoteze!$C$149*60+Ipoteze!$C$150)*Ipoteze!$C$15</f>
        <v>21892.6829268293</v>
      </c>
      <c r="D49" s="27" t="n">
        <f aca="false">Ipoteze!$C$18/(Ipoteze!$C$52/Ipoteze!$C$149*60+Ipoteze!$C$150)*Ipoteze!$C$15</f>
        <v>21892.6829268293</v>
      </c>
      <c r="E49" s="27" t="n">
        <f aca="false">Ipoteze!$C$18/(Ipoteze!$C$52/Ipoteze!$C$149*60+Ipoteze!$C$150)*Ipoteze!$C$15</f>
        <v>21892.6829268293</v>
      </c>
      <c r="F49" s="27" t="n">
        <f aca="false">Ipoteze!$C$18/(Ipoteze!$C$52/Ipoteze!$C$149*60+Ipoteze!$C$150)*Ipoteze!$C$15</f>
        <v>21892.6829268293</v>
      </c>
    </row>
    <row r="50" customFormat="false" ht="15" hidden="false" customHeight="false" outlineLevel="0" collapsed="false">
      <c r="A50" s="17" t="s">
        <v>629</v>
      </c>
      <c r="B50" s="9" t="s">
        <v>630</v>
      </c>
      <c r="C50" s="27" t="n">
        <f aca="false">IF(C8=1,CEILING(C7/(C49*Ipoteze!$C$20),1),1)</f>
        <v>1</v>
      </c>
      <c r="D50" s="27" t="n">
        <f aca="false">IF(D8=1,CEILING(D7/(D49*Ipoteze!$C$20),1),1)</f>
        <v>1</v>
      </c>
      <c r="E50" s="27" t="n">
        <f aca="false">IF(E8=1,CEILING(E7/(E49*Ipoteze!$C$20),1),1)</f>
        <v>1</v>
      </c>
      <c r="F50" s="27" t="n">
        <f aca="false">IF(F8=1,CEILING(F7/(F49*Ipoteze!$C$20),1),1)</f>
        <v>1</v>
      </c>
    </row>
    <row r="51" customFormat="false" ht="15" hidden="false" customHeight="false" outlineLevel="0" collapsed="false">
      <c r="A51" s="17" t="s">
        <v>631</v>
      </c>
      <c r="B51" s="9" t="s">
        <v>632</v>
      </c>
      <c r="C51" s="27" t="n">
        <f aca="false">IF(C8=1,MIN(Ipoteze!$C$20,CEILING(C7/(C49*C50),1)),1)</f>
        <v>1</v>
      </c>
      <c r="D51" s="27" t="n">
        <f aca="false">IF(D8=1,MIN(Ipoteze!$C$20,CEILING(D7/(D49*D50),1)),1)</f>
        <v>1</v>
      </c>
      <c r="E51" s="27" t="n">
        <f aca="false">IF(E8=1,MIN(Ipoteze!$C$20,CEILING(E7/(E49*E50),1)),1)</f>
        <v>1</v>
      </c>
      <c r="F51" s="27" t="n">
        <f aca="false">IF(F8=1,MIN(Ipoteze!$C$20,CEILING(F7/(F49*F50),1)),1)</f>
        <v>1</v>
      </c>
    </row>
    <row r="52" customFormat="false" ht="15" hidden="false" customHeight="false" outlineLevel="0" collapsed="false">
      <c r="A52" s="17" t="s">
        <v>633</v>
      </c>
      <c r="B52" s="9" t="s">
        <v>634</v>
      </c>
      <c r="C52" s="27" t="n">
        <f aca="false">C51*C50</f>
        <v>1</v>
      </c>
      <c r="D52" s="27" t="n">
        <f aca="false">D51*D50</f>
        <v>1</v>
      </c>
      <c r="E52" s="27" t="n">
        <f aca="false">E51*E50</f>
        <v>1</v>
      </c>
      <c r="F52" s="27" t="n">
        <f aca="false">F51*F50</f>
        <v>1</v>
      </c>
    </row>
    <row r="53" customFormat="false" ht="15" hidden="false" customHeight="false" outlineLevel="0" collapsed="false">
      <c r="A53" s="17" t="s">
        <v>635</v>
      </c>
      <c r="B53" s="9" t="s">
        <v>636</v>
      </c>
      <c r="C53" s="42" t="n">
        <f aca="false">Ipoteze!$C$142+Ipoteze!$C$143+(Ipoteze!$C$144+Ipoteze!$C$145)*Ipoteze!$C$8+Ipoteze!$C$146+Ipoteze!$C$147+Ipoteze!$C$148</f>
        <v>36470.42</v>
      </c>
      <c r="D53" s="42" t="n">
        <f aca="false">Ipoteze!$C$142+Ipoteze!$C$143+(Ipoteze!$C$144+Ipoteze!$C$145)*Ipoteze!$C$8+Ipoteze!$C$146+Ipoteze!$C$147+Ipoteze!$C$148</f>
        <v>36470.42</v>
      </c>
      <c r="E53" s="42" t="n">
        <f aca="false">Ipoteze!$C$142+Ipoteze!$C$143+(Ipoteze!$C$144+Ipoteze!$C$145)*Ipoteze!$C$8+Ipoteze!$C$146+Ipoteze!$C$147+Ipoteze!$C$148</f>
        <v>36470.42</v>
      </c>
      <c r="F53" s="42" t="n">
        <f aca="false">Ipoteze!$C$142+Ipoteze!$C$143+(Ipoteze!$C$144+Ipoteze!$C$145)*Ipoteze!$C$8+Ipoteze!$C$146+Ipoteze!$C$147+Ipoteze!$C$148</f>
        <v>36470.42</v>
      </c>
    </row>
    <row r="54" customFormat="false" ht="15" hidden="false" customHeight="false" outlineLevel="0" collapsed="false">
      <c r="A54" s="17" t="s">
        <v>637</v>
      </c>
      <c r="B54" s="9" t="s">
        <v>638</v>
      </c>
      <c r="C54" s="42" t="n">
        <f aca="false">C50*C53</f>
        <v>36470.42</v>
      </c>
      <c r="D54" s="42" t="n">
        <f aca="false">D50*D53</f>
        <v>36470.42</v>
      </c>
      <c r="E54" s="42" t="n">
        <f aca="false">E50*E53</f>
        <v>36470.42</v>
      </c>
      <c r="F54" s="42" t="n">
        <f aca="false">F50*F53</f>
        <v>36470.42</v>
      </c>
    </row>
    <row r="55" customFormat="false" ht="15" hidden="false" customHeight="false" outlineLevel="0" collapsed="false">
      <c r="A55" s="17" t="s">
        <v>639</v>
      </c>
      <c r="B55" s="9" t="s">
        <v>640</v>
      </c>
      <c r="C55" s="27" t="n">
        <f aca="false">C38+C44</f>
        <v>2</v>
      </c>
      <c r="D55" s="27" t="n">
        <f aca="false">D38+D44</f>
        <v>2</v>
      </c>
      <c r="E55" s="27" t="n">
        <f aca="false">E38+E44</f>
        <v>5</v>
      </c>
      <c r="F55" s="27" t="n">
        <f aca="false">F38+F44</f>
        <v>10</v>
      </c>
    </row>
    <row r="56" customFormat="false" ht="15" hidden="false" customHeight="false" outlineLevel="0" collapsed="false">
      <c r="A56" s="17" t="s">
        <v>641</v>
      </c>
      <c r="B56" s="9" t="s">
        <v>642</v>
      </c>
      <c r="C56" s="27" t="n">
        <f aca="false">C55+C52</f>
        <v>3</v>
      </c>
      <c r="D56" s="27" t="n">
        <f aca="false">D55+D52</f>
        <v>3</v>
      </c>
      <c r="E56" s="27" t="n">
        <f aca="false">E55+E52</f>
        <v>6</v>
      </c>
      <c r="F56" s="27" t="n">
        <f aca="false">F55+F52</f>
        <v>11</v>
      </c>
    </row>
    <row r="58" customFormat="false" ht="15" hidden="false" customHeight="false" outlineLevel="0" collapsed="false">
      <c r="A58" s="20" t="s">
        <v>643</v>
      </c>
      <c r="B58" s="21"/>
      <c r="C58" s="21"/>
      <c r="D58" s="21"/>
      <c r="E58" s="21"/>
      <c r="F58" s="21"/>
      <c r="G58" s="21"/>
    </row>
    <row r="59" customFormat="false" ht="15" hidden="false" customHeight="false" outlineLevel="0" collapsed="false">
      <c r="A59" s="17" t="s">
        <v>644</v>
      </c>
      <c r="B59" s="38" t="s">
        <v>645</v>
      </c>
      <c r="C59" s="43" t="n">
        <f aca="false">(C37*C39+C40)*(1+C11)</f>
        <v>2135.8073</v>
      </c>
      <c r="D59" s="43" t="n">
        <f aca="false">(D37*D39+D40)*(1+D11)</f>
        <v>6937.13</v>
      </c>
      <c r="E59" s="43" t="n">
        <f aca="false">(E37*E39+E40)*(1+E11)</f>
        <v>6937.13</v>
      </c>
      <c r="F59" s="43" t="n">
        <f aca="false">(F37*F39+F40)*(1+F11)</f>
        <v>13374.26</v>
      </c>
    </row>
    <row r="60" customFormat="false" ht="15" hidden="false" customHeight="false" outlineLevel="0" collapsed="false">
      <c r="A60" s="17" t="s">
        <v>646</v>
      </c>
      <c r="B60" s="9" t="s">
        <v>647</v>
      </c>
      <c r="C60" s="42" t="n">
        <f aca="false">0</f>
        <v>0</v>
      </c>
      <c r="D60" s="42" t="n">
        <f aca="false">0</f>
        <v>0</v>
      </c>
      <c r="E60" s="42" t="n">
        <f aca="false">0</f>
        <v>0</v>
      </c>
      <c r="F60" s="42" t="n">
        <f aca="false">0</f>
        <v>0</v>
      </c>
      <c r="G60" s="17" t="s">
        <v>648</v>
      </c>
    </row>
    <row r="61" customFormat="false" ht="15" hidden="false" customHeight="false" outlineLevel="0" collapsed="false">
      <c r="A61" s="17" t="s">
        <v>649</v>
      </c>
      <c r="B61" s="9" t="s">
        <v>650</v>
      </c>
      <c r="C61" s="42" t="n">
        <f aca="false">0</f>
        <v>0</v>
      </c>
      <c r="D61" s="42" t="n">
        <f aca="false">0</f>
        <v>0</v>
      </c>
      <c r="E61" s="42" t="n">
        <f aca="false">0</f>
        <v>0</v>
      </c>
      <c r="F61" s="42" t="n">
        <f aca="false">0</f>
        <v>0</v>
      </c>
      <c r="G61" s="17" t="s">
        <v>651</v>
      </c>
    </row>
    <row r="62" customFormat="false" ht="15" hidden="false" customHeight="false" outlineLevel="0" collapsed="false">
      <c r="A62" s="17" t="s">
        <v>652</v>
      </c>
      <c r="B62" s="9" t="s">
        <v>653</v>
      </c>
      <c r="C62" s="42" t="n">
        <f aca="false">C59/Ipoteze!$C$89</f>
        <v>711.935766666667</v>
      </c>
      <c r="D62" s="42" t="n">
        <f aca="false">D59/Ipoteze!$C$89</f>
        <v>2312.37666666667</v>
      </c>
      <c r="E62" s="42" t="n">
        <f aca="false">E59/Ipoteze!$C$89</f>
        <v>2312.37666666667</v>
      </c>
      <c r="F62" s="42" t="n">
        <f aca="false">F59/Ipoteze!$C$89</f>
        <v>4458.08666666667</v>
      </c>
    </row>
    <row r="63" customFormat="false" ht="15" hidden="false" customHeight="false" outlineLevel="0" collapsed="false">
      <c r="A63" s="17" t="s">
        <v>654</v>
      </c>
      <c r="B63" s="9" t="s">
        <v>655</v>
      </c>
      <c r="C63" s="42" t="n">
        <f aca="false">Ipoteze!$C$104+Ipoteze!$C$106</f>
        <v>1600</v>
      </c>
      <c r="D63" s="42" t="n">
        <f aca="false">Ipoteze!$C$104+Ipoteze!$C$106</f>
        <v>1600</v>
      </c>
      <c r="E63" s="42" t="n">
        <f aca="false">Ipoteze!$C$104+Ipoteze!$C$106</f>
        <v>1600</v>
      </c>
      <c r="F63" s="42" t="n">
        <f aca="false">Ipoteze!$C$104+Ipoteze!$C$106</f>
        <v>1600</v>
      </c>
    </row>
    <row r="64" customFormat="false" ht="15" hidden="false" customHeight="false" outlineLevel="0" collapsed="false">
      <c r="A64" s="17" t="s">
        <v>656</v>
      </c>
      <c r="B64" s="38" t="s">
        <v>657</v>
      </c>
      <c r="C64" s="43" t="n">
        <f aca="false">C60+C61+C62+C63</f>
        <v>2311.93576666667</v>
      </c>
      <c r="D64" s="43" t="n">
        <f aca="false">D60+D61+D62+D63</f>
        <v>3912.37666666667</v>
      </c>
      <c r="E64" s="43" t="n">
        <f aca="false">E60+E61+E62+E63</f>
        <v>3912.37666666667</v>
      </c>
      <c r="F64" s="43" t="n">
        <f aca="false">F60+F61+F62+F63</f>
        <v>6058.08666666667</v>
      </c>
    </row>
    <row r="65" customFormat="false" ht="15" hidden="false" customHeight="false" outlineLevel="0" collapsed="false">
      <c r="A65" s="17" t="s">
        <v>658</v>
      </c>
      <c r="B65" s="9" t="s">
        <v>659</v>
      </c>
      <c r="C65" s="37" t="n">
        <f aca="false">C20</f>
        <v>73.3943616</v>
      </c>
      <c r="D65" s="37" t="n">
        <f aca="false">D20</f>
        <v>43.52198624</v>
      </c>
      <c r="E65" s="37" t="n">
        <f aca="false">E20</f>
        <v>32.86485216</v>
      </c>
      <c r="F65" s="37" t="n">
        <f aca="false">F20</f>
        <v>27.47069898</v>
      </c>
    </row>
    <row r="66" customFormat="false" ht="15" hidden="false" customHeight="false" outlineLevel="0" collapsed="false">
      <c r="A66" s="17" t="s">
        <v>660</v>
      </c>
      <c r="B66" s="9" t="s">
        <v>661</v>
      </c>
      <c r="C66" s="37" t="n">
        <f aca="false">C23</f>
        <v>0</v>
      </c>
      <c r="D66" s="37" t="n">
        <f aca="false">D23</f>
        <v>4</v>
      </c>
      <c r="E66" s="37" t="n">
        <f aca="false">E23</f>
        <v>2.5</v>
      </c>
      <c r="F66" s="37" t="n">
        <f aca="false">F23</f>
        <v>1.8</v>
      </c>
    </row>
    <row r="67" customFormat="false" ht="15" hidden="false" customHeight="false" outlineLevel="0" collapsed="false">
      <c r="A67" s="17" t="s">
        <v>662</v>
      </c>
      <c r="B67" s="9" t="s">
        <v>663</v>
      </c>
      <c r="C67" s="37" t="n">
        <f aca="false">C25</f>
        <v>71.46414</v>
      </c>
      <c r="D67" s="37" t="n">
        <f aca="false">D25</f>
        <v>31.842824</v>
      </c>
      <c r="E67" s="37" t="n">
        <f aca="false">E25</f>
        <v>23.4767104</v>
      </c>
      <c r="F67" s="37" t="n">
        <f aca="false">F25</f>
        <v>18.7363798</v>
      </c>
    </row>
    <row r="68" customFormat="false" ht="15" hidden="false" customHeight="false" outlineLevel="0" collapsed="false">
      <c r="A68" s="17" t="s">
        <v>664</v>
      </c>
      <c r="B68" s="9" t="s">
        <v>665</v>
      </c>
      <c r="C68" s="37" t="n">
        <f aca="false">Ipoteze!C$60</f>
        <v>2</v>
      </c>
      <c r="D68" s="37" t="n">
        <f aca="false">Ipoteze!D$60</f>
        <v>1.2</v>
      </c>
      <c r="E68" s="37" t="n">
        <f aca="false">Ipoteze!E$60</f>
        <v>0.8</v>
      </c>
      <c r="F68" s="37" t="n">
        <f aca="false">Ipoteze!F$60</f>
        <v>0.6</v>
      </c>
    </row>
    <row r="69" customFormat="false" ht="15" hidden="false" customHeight="false" outlineLevel="0" collapsed="false">
      <c r="A69" s="17" t="s">
        <v>666</v>
      </c>
      <c r="B69" s="9" t="s">
        <v>667</v>
      </c>
      <c r="C69" s="37" t="n">
        <f aca="false">Ipoteze!C$62</f>
        <v>15</v>
      </c>
      <c r="D69" s="37" t="n">
        <f aca="false">Ipoteze!D$62</f>
        <v>10</v>
      </c>
      <c r="E69" s="37" t="n">
        <f aca="false">Ipoteze!E$62</f>
        <v>8</v>
      </c>
      <c r="F69" s="37" t="n">
        <f aca="false">Ipoteze!F$62</f>
        <v>7</v>
      </c>
    </row>
    <row r="70" customFormat="false" ht="15" hidden="false" customHeight="false" outlineLevel="0" collapsed="false">
      <c r="A70" s="17" t="s">
        <v>668</v>
      </c>
      <c r="B70" s="9" t="s">
        <v>669</v>
      </c>
      <c r="C70" s="37" t="n">
        <f aca="false">Ipoteze!$C$63/60*C12</f>
        <v>0.603078798364266</v>
      </c>
      <c r="D70" s="37" t="n">
        <f aca="false">Ipoteze!$C$63/60*D12</f>
        <v>0.603078798364266</v>
      </c>
      <c r="E70" s="37" t="n">
        <f aca="false">Ipoteze!$C$63/60*E12</f>
        <v>0.603078798364266</v>
      </c>
      <c r="F70" s="37" t="n">
        <f aca="false">Ipoteze!$C$63/60*F12</f>
        <v>0.603078798364266</v>
      </c>
    </row>
    <row r="71" customFormat="false" ht="15" hidden="false" customHeight="false" outlineLevel="0" collapsed="false">
      <c r="A71" s="17" t="s">
        <v>670</v>
      </c>
      <c r="B71" s="9" t="s">
        <v>671</v>
      </c>
      <c r="C71" s="37" t="n">
        <f aca="false">(C65+C66+C67)*Ipoteze!$C$73</f>
        <v>4.345755048</v>
      </c>
      <c r="D71" s="37" t="n">
        <f aca="false">(D65+D66+D67)*Ipoteze!$C$73</f>
        <v>2.3809443072</v>
      </c>
      <c r="E71" s="37" t="n">
        <f aca="false">(E65+E66+E67)*Ipoteze!$C$73</f>
        <v>1.7652468768</v>
      </c>
      <c r="F71" s="37" t="n">
        <f aca="false">(F65+F66+F67)*Ipoteze!$C$73</f>
        <v>1.4402123634</v>
      </c>
    </row>
    <row r="72" customFormat="false" ht="15" hidden="false" customHeight="false" outlineLevel="0" collapsed="false">
      <c r="A72" s="17" t="s">
        <v>672</v>
      </c>
      <c r="B72" s="9" t="s">
        <v>673</v>
      </c>
      <c r="C72" s="37" t="n">
        <f aca="false">(C65+C66+C67+C68+C69+C71)*C11</f>
        <v>34.90289389608</v>
      </c>
      <c r="D72" s="37" t="n">
        <f aca="false">(D65+D66+D67+D68+D69+D71)*D11</f>
        <v>0</v>
      </c>
      <c r="E72" s="37" t="n">
        <f aca="false">(E65+E66+E67+E68+E69+E71)*E11</f>
        <v>0</v>
      </c>
      <c r="F72" s="37" t="n">
        <f aca="false">(F65+F66+F67+F68+F69+F71)*F11</f>
        <v>0</v>
      </c>
    </row>
    <row r="73" customFormat="false" ht="15" hidden="false" customHeight="false" outlineLevel="0" collapsed="false">
      <c r="A73" s="17" t="s">
        <v>674</v>
      </c>
      <c r="B73" s="38" t="s">
        <v>675</v>
      </c>
      <c r="C73" s="39" t="n">
        <f aca="false">C65+C66+C67+C68+C69+C70+C71+C72</f>
        <v>201.710229342444</v>
      </c>
      <c r="D73" s="39" t="n">
        <f aca="false">D65+D66+D67+D68+D69+D70+D71+D72</f>
        <v>93.5488333455643</v>
      </c>
      <c r="E73" s="39" t="n">
        <f aca="false">E65+E66+E67+E68+E69+E70+E71+E72</f>
        <v>70.0098882351643</v>
      </c>
      <c r="F73" s="39" t="n">
        <f aca="false">F65+F66+F67+F68+F69+F70+F71+F72</f>
        <v>57.6503699417643</v>
      </c>
    </row>
    <row r="74" customFormat="false" ht="15" hidden="false" customHeight="false" outlineLevel="0" collapsed="false">
      <c r="A74" s="17" t="s">
        <v>676</v>
      </c>
      <c r="B74" s="9" t="s">
        <v>677</v>
      </c>
      <c r="C74" s="37" t="n">
        <f aca="false">C64/C7</f>
        <v>23.1193576666667</v>
      </c>
      <c r="D74" s="37" t="n">
        <f aca="false">D64/D7</f>
        <v>3.91237666666667</v>
      </c>
      <c r="E74" s="37" t="n">
        <f aca="false">E64/E7</f>
        <v>0.782475333333333</v>
      </c>
      <c r="F74" s="37" t="n">
        <f aca="false">F64/F7</f>
        <v>0.302904333333333</v>
      </c>
    </row>
    <row r="75" customFormat="false" ht="15" hidden="false" customHeight="false" outlineLevel="0" collapsed="false">
      <c r="A75" s="17" t="s">
        <v>678</v>
      </c>
      <c r="B75" s="38" t="s">
        <v>679</v>
      </c>
      <c r="C75" s="39" t="n">
        <f aca="false">C73+C74</f>
        <v>224.829587009111</v>
      </c>
      <c r="D75" s="39" t="n">
        <f aca="false">D73+D74</f>
        <v>97.4612100122309</v>
      </c>
      <c r="E75" s="39" t="n">
        <f aca="false">E73+E74</f>
        <v>70.7923635684976</v>
      </c>
      <c r="F75" s="39" t="n">
        <f aca="false">F73+F74</f>
        <v>57.9532742750976</v>
      </c>
    </row>
    <row r="76" customFormat="false" ht="15" hidden="false" customHeight="false" outlineLevel="0" collapsed="false">
      <c r="A76" s="17" t="s">
        <v>680</v>
      </c>
      <c r="B76" s="9" t="s">
        <v>681</v>
      </c>
      <c r="C76" s="37" t="n">
        <f aca="false">((IF(C8=1,Ipoteze!$C$159,0)+Ipoteze!$C$160)*Ipoteze!$C$8+Ipoteze!C$161)/(Ipoteze!$C$162*C7)</f>
        <v>29</v>
      </c>
      <c r="D76" s="37" t="n">
        <f aca="false">((IF(D8=1,Ipoteze!$C$159,0)+Ipoteze!$C$160)*Ipoteze!$C$8+Ipoteze!D$161)/(Ipoteze!$C$162*D7)</f>
        <v>11.0916666666667</v>
      </c>
      <c r="E76" s="37" t="n">
        <f aca="false">((IF(E8=1,Ipoteze!$C$159,0)+Ipoteze!$C$160)*Ipoteze!$C$8+Ipoteze!E$161)/(Ipoteze!$C$162*E7)</f>
        <v>3.105</v>
      </c>
      <c r="F76" s="37" t="n">
        <f aca="false">((IF(F8=1,Ipoteze!$C$159,0)+Ipoteze!$C$160)*Ipoteze!$C$8+Ipoteze!F$161)/(Ipoteze!$C$162*F7)</f>
        <v>0.77625</v>
      </c>
    </row>
    <row r="77" customFormat="false" ht="15" hidden="false" customHeight="false" outlineLevel="0" collapsed="false">
      <c r="A77" s="17" t="s">
        <v>682</v>
      </c>
      <c r="B77" s="11" t="s">
        <v>683</v>
      </c>
      <c r="C77" s="40" t="n">
        <f aca="false">C75+C76</f>
        <v>253.829587009111</v>
      </c>
      <c r="D77" s="40" t="n">
        <f aca="false">D75+D76</f>
        <v>108.552876678898</v>
      </c>
      <c r="E77" s="40" t="n">
        <f aca="false">E75+E76</f>
        <v>73.8973635684976</v>
      </c>
      <c r="F77" s="40" t="n">
        <f aca="false">F75+F76</f>
        <v>58.7295242750976</v>
      </c>
    </row>
    <row r="78" customFormat="false" ht="15" hidden="false" customHeight="false" outlineLevel="0" collapsed="false">
      <c r="A78" s="17" t="s">
        <v>684</v>
      </c>
      <c r="B78" s="9" t="s">
        <v>685</v>
      </c>
      <c r="C78" s="37" t="n">
        <f aca="false">IF(C10=1,Ipoteze!$C$10/(1+Ipoteze!$C$11),Ipoteze!$C$10)</f>
        <v>249</v>
      </c>
      <c r="D78" s="37" t="n">
        <f aca="false">IF(D10=1,Ipoteze!$C$10/(1+Ipoteze!$C$11),Ipoteze!$C$10)</f>
        <v>205.785123966942</v>
      </c>
      <c r="E78" s="37" t="n">
        <f aca="false">IF(E10=1,Ipoteze!$C$10/(1+Ipoteze!$C$11),Ipoteze!$C$10)</f>
        <v>205.785123966942</v>
      </c>
      <c r="F78" s="37" t="n">
        <f aca="false">IF(F10=1,Ipoteze!$C$10/(1+Ipoteze!$C$11),Ipoteze!$C$10)</f>
        <v>205.785123966942</v>
      </c>
    </row>
    <row r="79" customFormat="false" ht="15" hidden="false" customHeight="false" outlineLevel="0" collapsed="false">
      <c r="A79" s="17" t="s">
        <v>686</v>
      </c>
      <c r="B79" s="11" t="s">
        <v>687</v>
      </c>
      <c r="C79" s="40" t="n">
        <f aca="false">C78-C77</f>
        <v>-4.82958700911095</v>
      </c>
      <c r="D79" s="40" t="n">
        <f aca="false">D78-D77</f>
        <v>97.2322472880446</v>
      </c>
      <c r="E79" s="40" t="n">
        <f aca="false">E78-E77</f>
        <v>131.887760398445</v>
      </c>
      <c r="F79" s="40" t="n">
        <f aca="false">F78-F77</f>
        <v>147.055599691845</v>
      </c>
    </row>
    <row r="80" customFormat="false" ht="15" hidden="false" customHeight="false" outlineLevel="0" collapsed="false">
      <c r="A80" s="17" t="s">
        <v>688</v>
      </c>
      <c r="B80" s="9" t="s">
        <v>689</v>
      </c>
      <c r="C80" s="36" t="n">
        <f aca="false">IF(C78=0,0,C79/C78)</f>
        <v>-0.0193959317634978</v>
      </c>
      <c r="D80" s="36" t="n">
        <f aca="false">IF(D78=0,0,D79/D78)</f>
        <v>0.472494053086482</v>
      </c>
      <c r="E80" s="36" t="n">
        <f aca="false">IF(E78=0,0,E79/E78)</f>
        <v>0.640900361775574</v>
      </c>
      <c r="F80" s="36" t="n">
        <f aca="false">IF(F78=0,0,F79/F78)</f>
        <v>0.714607532639084</v>
      </c>
    </row>
    <row r="82" customFormat="false" ht="15" hidden="false" customHeight="false" outlineLevel="0" collapsed="false">
      <c r="A82" s="20" t="s">
        <v>690</v>
      </c>
      <c r="B82" s="21"/>
      <c r="C82" s="21"/>
      <c r="D82" s="21"/>
      <c r="E82" s="21"/>
      <c r="F82" s="21"/>
      <c r="G82" s="21"/>
    </row>
    <row r="83" customFormat="false" ht="15" hidden="false" customHeight="false" outlineLevel="0" collapsed="false">
      <c r="A83" s="17" t="s">
        <v>691</v>
      </c>
      <c r="B83" s="38" t="s">
        <v>692</v>
      </c>
      <c r="C83" s="43" t="n">
        <f aca="false">(C36*Ipoteze!$C$78+C37*C39+Ipoteze!$C$81+IF(C7&gt;=Ipoteze!$C$24,Ipoteze!$C$82+Ipoteze!$C$83+Ipoteze!$C$85,Ipoteze!$C$84)+Ipoteze!$C$86+Ipoteze!$C$87*C36+Ipoteze!$C$88+C40)*(1+C11)</f>
        <v>10236.7573</v>
      </c>
      <c r="D83" s="43" t="n">
        <f aca="false">(D36*Ipoteze!$C$78+D37*D39+Ipoteze!$C$81+IF(D7&gt;=Ipoteze!$C$24,Ipoteze!$C$82+Ipoteze!$C$83+Ipoteze!$C$85,Ipoteze!$C$84)+Ipoteze!$C$86+Ipoteze!$C$87*D36+Ipoteze!$C$88+D40)*(1+D11)</f>
        <v>23361.13</v>
      </c>
      <c r="E83" s="43" t="n">
        <f aca="false">(E36*Ipoteze!$C$78+E37*E39+Ipoteze!$C$81+IF(E7&gt;=Ipoteze!$C$24,Ipoteze!$C$82+Ipoteze!$C$83+Ipoteze!$C$85,Ipoteze!$C$84)+Ipoteze!$C$86+Ipoteze!$C$87*E36+Ipoteze!$C$88+E40)*(1+E11)</f>
        <v>26356.13</v>
      </c>
      <c r="F83" s="43" t="n">
        <f aca="false">(F36*Ipoteze!$C$78+F37*F39+Ipoteze!$C$81+IF(F7&gt;=Ipoteze!$C$24,Ipoteze!$C$82+Ipoteze!$C$83+Ipoteze!$C$85,Ipoteze!$C$84)+Ipoteze!$C$86+Ipoteze!$C$87*F36+Ipoteze!$C$88+F40)*(1+F11)</f>
        <v>38783.26</v>
      </c>
    </row>
    <row r="84" customFormat="false" ht="15" hidden="false" customHeight="false" outlineLevel="0" collapsed="false">
      <c r="A84" s="17" t="s">
        <v>693</v>
      </c>
      <c r="B84" s="9" t="s">
        <v>694</v>
      </c>
      <c r="C84" s="42" t="n">
        <f aca="false">Ipoteze!C$76*(Ipoteze!$C$99+Ipoteze!$C$100)*12*(1+C11)</f>
        <v>0</v>
      </c>
      <c r="D84" s="42" t="n">
        <f aca="false">Ipoteze!D$76*(Ipoteze!$C$99+Ipoteze!$C$100)*12*(1+D11)</f>
        <v>4824</v>
      </c>
      <c r="E84" s="42" t="n">
        <f aca="false">Ipoteze!E$76*(Ipoteze!$C$99+Ipoteze!$C$100)*12*(1+E11)</f>
        <v>12060</v>
      </c>
      <c r="F84" s="42" t="n">
        <f aca="false">Ipoteze!F$76*(Ipoteze!$C$99+Ipoteze!$C$100)*12*(1+F11)</f>
        <v>24120</v>
      </c>
    </row>
    <row r="85" customFormat="false" ht="15" hidden="false" customHeight="false" outlineLevel="0" collapsed="false">
      <c r="A85" s="17" t="s">
        <v>695</v>
      </c>
      <c r="B85" s="9" t="s">
        <v>696</v>
      </c>
      <c r="C85" s="42" t="n">
        <f aca="false">Ipoteze!C$77*12*Ipoteze!$C$101/Ipoteze!$C$7*(1+C11)</f>
        <v>0</v>
      </c>
      <c r="D85" s="42" t="n">
        <f aca="false">Ipoteze!D$77*12*Ipoteze!$C$101/Ipoteze!$C$7*(1+D11)</f>
        <v>3294.11764705882</v>
      </c>
      <c r="E85" s="42" t="n">
        <f aca="false">Ipoteze!E$77*12*Ipoteze!$C$101/Ipoteze!$C$7*(1+E11)</f>
        <v>6588.23529411765</v>
      </c>
      <c r="F85" s="42" t="n">
        <f aca="false">Ipoteze!F$77*12*Ipoteze!$C$101/Ipoteze!$C$7*(1+F11)</f>
        <v>9882.35294117647</v>
      </c>
    </row>
    <row r="86" customFormat="false" ht="15" hidden="false" customHeight="false" outlineLevel="0" collapsed="false">
      <c r="A86" s="17" t="s">
        <v>697</v>
      </c>
      <c r="B86" s="9" t="s">
        <v>698</v>
      </c>
      <c r="C86" s="42" t="n">
        <f aca="false">(C35*Ipoteze!$C$93+Ipoteze!C$74*Ipoteze!$C$94+Ipoteze!C$75*Ipoteze!$C$97)*(1+Ipoteze!$C$98)*12/Ipoteze!$C$7</f>
        <v>542.770918527839</v>
      </c>
      <c r="D86" s="42" t="n">
        <f aca="false">(D35*Ipoteze!$C$93+Ipoteze!D$74*Ipoteze!$C$94+Ipoteze!D$75*Ipoteze!$C$97)*(1+Ipoteze!$C$98)*12/Ipoteze!$C$7</f>
        <v>3015.39399182133</v>
      </c>
      <c r="E86" s="42" t="n">
        <f aca="false">(E35*Ipoteze!$C$93+Ipoteze!E$74*Ipoteze!$C$94+Ipoteze!E$75*Ipoteze!$C$97)*(1+Ipoteze!$C$98)*12/Ipoteze!$C$7</f>
        <v>31877.9411764706</v>
      </c>
      <c r="F86" s="42" t="n">
        <f aca="false">(F35*Ipoteze!$C$93+Ipoteze!F$74*Ipoteze!$C$94+Ipoteze!F$75*Ipoteze!$C$97)*(1+Ipoteze!$C$98)*12/Ipoteze!$C$7</f>
        <v>63515.2941176471</v>
      </c>
    </row>
    <row r="87" customFormat="false" ht="15" hidden="false" customHeight="false" outlineLevel="0" collapsed="false">
      <c r="A87" s="17" t="s">
        <v>699</v>
      </c>
      <c r="B87" s="9" t="s">
        <v>653</v>
      </c>
      <c r="C87" s="42" t="n">
        <f aca="false">C83/Ipoteze!$C$89</f>
        <v>3412.25243333333</v>
      </c>
      <c r="D87" s="42" t="n">
        <f aca="false">D83/Ipoteze!$C$89</f>
        <v>7787.04333333333</v>
      </c>
      <c r="E87" s="42" t="n">
        <f aca="false">E83/Ipoteze!$C$89</f>
        <v>8785.37666666667</v>
      </c>
      <c r="F87" s="42" t="n">
        <f aca="false">F83/Ipoteze!$C$89</f>
        <v>12927.7533333333</v>
      </c>
    </row>
    <row r="88" customFormat="false" ht="15" hidden="false" customHeight="false" outlineLevel="0" collapsed="false">
      <c r="A88" s="17" t="s">
        <v>700</v>
      </c>
      <c r="B88" s="9" t="s">
        <v>701</v>
      </c>
      <c r="C88" s="42" t="n">
        <f aca="false">Ipoteze!$C$105+Ipoteze!$C$106+Ipoteze!$C$107/Ipoteze!$C$7+(IF(C38&lt;=5,Ipoteze!$C$108*12,Ipoteze!$C$109*12*C38)+Ipoteze!$C$110*C38+Ipoteze!$C$111*12*C38)/Ipoteze!$C$7+Ipoteze!$C$112+Ipoteze!$C$113</f>
        <v>3339.21568627451</v>
      </c>
      <c r="D88" s="42" t="n">
        <f aca="false">Ipoteze!$C$105+Ipoteze!$C$106+Ipoteze!$C$107/Ipoteze!$C$7+(IF(D38&lt;=5,Ipoteze!$C$108*12,Ipoteze!$C$109*12*D38)+Ipoteze!$C$110*D38+Ipoteze!$C$111*12*D38)/Ipoteze!$C$7+Ipoteze!$C$112+Ipoteze!$C$113</f>
        <v>3339.21568627451</v>
      </c>
      <c r="E88" s="42" t="n">
        <f aca="false">Ipoteze!$C$105+Ipoteze!$C$106+Ipoteze!$C$107/Ipoteze!$C$7+(IF(E38&lt;=5,Ipoteze!$C$108*12,Ipoteze!$C$109*12*E38)+Ipoteze!$C$110*E38+Ipoteze!$C$111*12*E38)/Ipoteze!$C$7+Ipoteze!$C$112+Ipoteze!$C$113</f>
        <v>3613.72549019608</v>
      </c>
      <c r="F88" s="42" t="n">
        <f aca="false">Ipoteze!$C$105+Ipoteze!$C$106+Ipoteze!$C$107/Ipoteze!$C$7+(IF(F38&lt;=5,Ipoteze!$C$108*12,Ipoteze!$C$109*12*F38)+Ipoteze!$C$110*F38+Ipoteze!$C$111*12*F38)/Ipoteze!$C$7+Ipoteze!$C$112+Ipoteze!$C$113</f>
        <v>4053.72549019608</v>
      </c>
    </row>
    <row r="89" customFormat="false" ht="15" hidden="false" customHeight="false" outlineLevel="0" collapsed="false">
      <c r="A89" s="17" t="s">
        <v>702</v>
      </c>
      <c r="B89" s="38" t="s">
        <v>657</v>
      </c>
      <c r="C89" s="43" t="n">
        <f aca="false">C84+C85+C86+C87+C88</f>
        <v>7294.23903813568</v>
      </c>
      <c r="D89" s="43" t="n">
        <f aca="false">D84+D85+D86+D87+D88</f>
        <v>22259.770658488</v>
      </c>
      <c r="E89" s="43" t="n">
        <f aca="false">E84+E85+E86+E87+E88</f>
        <v>62925.278627451</v>
      </c>
      <c r="F89" s="43" t="n">
        <f aca="false">F84+F85+F86+F87+F88</f>
        <v>114499.125882353</v>
      </c>
    </row>
    <row r="90" customFormat="false" ht="15" hidden="false" customHeight="false" outlineLevel="0" collapsed="false">
      <c r="A90" s="17" t="s">
        <v>703</v>
      </c>
      <c r="B90" s="9" t="s">
        <v>659</v>
      </c>
      <c r="C90" s="37" t="n">
        <f aca="false">C20</f>
        <v>73.3943616</v>
      </c>
      <c r="D90" s="37" t="n">
        <f aca="false">D20</f>
        <v>43.52198624</v>
      </c>
      <c r="E90" s="37" t="n">
        <f aca="false">E20</f>
        <v>32.86485216</v>
      </c>
      <c r="F90" s="37" t="n">
        <f aca="false">F20</f>
        <v>27.47069898</v>
      </c>
    </row>
    <row r="91" customFormat="false" ht="15" hidden="false" customHeight="false" outlineLevel="0" collapsed="false">
      <c r="A91" s="17" t="s">
        <v>704</v>
      </c>
      <c r="B91" s="9" t="s">
        <v>661</v>
      </c>
      <c r="C91" s="37" t="n">
        <f aca="false">C23</f>
        <v>0</v>
      </c>
      <c r="D91" s="37" t="n">
        <f aca="false">D23</f>
        <v>4</v>
      </c>
      <c r="E91" s="37" t="n">
        <f aca="false">E23</f>
        <v>2.5</v>
      </c>
      <c r="F91" s="37" t="n">
        <f aca="false">F23</f>
        <v>1.8</v>
      </c>
    </row>
    <row r="92" customFormat="false" ht="15" hidden="false" customHeight="false" outlineLevel="0" collapsed="false">
      <c r="A92" s="17" t="s">
        <v>705</v>
      </c>
      <c r="B92" s="9" t="s">
        <v>663</v>
      </c>
      <c r="C92" s="37" t="n">
        <f aca="false">C25</f>
        <v>71.46414</v>
      </c>
      <c r="D92" s="37" t="n">
        <f aca="false">D25</f>
        <v>31.842824</v>
      </c>
      <c r="E92" s="37" t="n">
        <f aca="false">E25</f>
        <v>23.4767104</v>
      </c>
      <c r="F92" s="37" t="n">
        <f aca="false">F25</f>
        <v>18.7363798</v>
      </c>
    </row>
    <row r="93" customFormat="false" ht="15" hidden="false" customHeight="false" outlineLevel="0" collapsed="false">
      <c r="A93" s="17" t="s">
        <v>706</v>
      </c>
      <c r="B93" s="9" t="s">
        <v>707</v>
      </c>
      <c r="C93" s="37" t="n">
        <f aca="false">IF(C7&gt;=Ipoteze!$C$24,0,Ipoteze!C$60)</f>
        <v>2</v>
      </c>
      <c r="D93" s="37" t="n">
        <f aca="false">IF(D7&gt;=Ipoteze!$C$24,0,Ipoteze!D$60)</f>
        <v>0</v>
      </c>
      <c r="E93" s="37" t="n">
        <f aca="false">IF(E7&gt;=Ipoteze!$C$24,0,Ipoteze!E$60)</f>
        <v>0</v>
      </c>
      <c r="F93" s="37" t="n">
        <f aca="false">IF(F7&gt;=Ipoteze!$C$24,0,Ipoteze!F$60)</f>
        <v>0</v>
      </c>
    </row>
    <row r="94" customFormat="false" ht="15" hidden="false" customHeight="false" outlineLevel="0" collapsed="false">
      <c r="A94" s="17" t="s">
        <v>708</v>
      </c>
      <c r="B94" s="9" t="s">
        <v>671</v>
      </c>
      <c r="C94" s="37" t="n">
        <f aca="false">(C90+C91+C92)*Ipoteze!$C$73</f>
        <v>4.345755048</v>
      </c>
      <c r="D94" s="37" t="n">
        <f aca="false">(D90+D91+D92)*Ipoteze!$C$73</f>
        <v>2.3809443072</v>
      </c>
      <c r="E94" s="37" t="n">
        <f aca="false">(E90+E91+E92)*Ipoteze!$C$73</f>
        <v>1.7652468768</v>
      </c>
      <c r="F94" s="37" t="n">
        <f aca="false">(F90+F91+F92)*Ipoteze!$C$73</f>
        <v>1.4402123634</v>
      </c>
    </row>
    <row r="95" customFormat="false" ht="15" hidden="false" customHeight="false" outlineLevel="0" collapsed="false">
      <c r="A95" s="17" t="s">
        <v>709</v>
      </c>
      <c r="B95" s="9" t="s">
        <v>673</v>
      </c>
      <c r="C95" s="37" t="n">
        <f aca="false">(C90+C91+C92+C93+C94)*C11</f>
        <v>31.75289389608</v>
      </c>
      <c r="D95" s="37" t="n">
        <f aca="false">(D90+D91+D92+D93+D94)*D11</f>
        <v>0</v>
      </c>
      <c r="E95" s="37" t="n">
        <f aca="false">(E90+E91+E92+E93+E94)*E11</f>
        <v>0</v>
      </c>
      <c r="F95" s="37" t="n">
        <f aca="false">(F90+F91+F92+F93+F94)*F11</f>
        <v>0</v>
      </c>
    </row>
    <row r="96" customFormat="false" ht="15" hidden="false" customHeight="false" outlineLevel="0" collapsed="false">
      <c r="A96" s="17" t="s">
        <v>710</v>
      </c>
      <c r="B96" s="38" t="s">
        <v>675</v>
      </c>
      <c r="C96" s="39" t="n">
        <f aca="false">C90+C91+C92+C93+C94+C95</f>
        <v>182.95715054408</v>
      </c>
      <c r="D96" s="39" t="n">
        <f aca="false">D90+D91+D92+D93+D94+D95</f>
        <v>81.7457545472</v>
      </c>
      <c r="E96" s="39" t="n">
        <f aca="false">E90+E91+E92+E93+E94+E95</f>
        <v>60.6068094368</v>
      </c>
      <c r="F96" s="39" t="n">
        <f aca="false">F90+F91+F92+F93+F94+F95</f>
        <v>49.4472911434</v>
      </c>
    </row>
    <row r="97" customFormat="false" ht="15" hidden="false" customHeight="false" outlineLevel="0" collapsed="false">
      <c r="A97" s="17" t="s">
        <v>711</v>
      </c>
      <c r="B97" s="9" t="s">
        <v>677</v>
      </c>
      <c r="C97" s="37" t="n">
        <f aca="false">C89/C7</f>
        <v>72.9423903813568</v>
      </c>
      <c r="D97" s="37" t="n">
        <f aca="false">D89/D7</f>
        <v>22.259770658488</v>
      </c>
      <c r="E97" s="37" t="n">
        <f aca="false">E89/E7</f>
        <v>12.5850557254902</v>
      </c>
      <c r="F97" s="37" t="n">
        <f aca="false">F89/F7</f>
        <v>5.72495629411765</v>
      </c>
    </row>
    <row r="98" customFormat="false" ht="15" hidden="false" customHeight="false" outlineLevel="0" collapsed="false">
      <c r="A98" s="17" t="s">
        <v>712</v>
      </c>
      <c r="B98" s="38" t="s">
        <v>679</v>
      </c>
      <c r="C98" s="39" t="n">
        <f aca="false">C96+C97</f>
        <v>255.899540925437</v>
      </c>
      <c r="D98" s="39" t="n">
        <f aca="false">D96+D97</f>
        <v>104.005525205688</v>
      </c>
      <c r="E98" s="39" t="n">
        <f aca="false">E96+E97</f>
        <v>73.1918651622902</v>
      </c>
      <c r="F98" s="39" t="n">
        <f aca="false">F96+F97</f>
        <v>55.1722474375177</v>
      </c>
    </row>
    <row r="99" customFormat="false" ht="15" hidden="false" customHeight="false" outlineLevel="0" collapsed="false">
      <c r="A99" s="17" t="s">
        <v>713</v>
      </c>
      <c r="B99" s="9" t="s">
        <v>681</v>
      </c>
      <c r="C99" s="37" t="n">
        <f aca="false">((IF(C8=1,Ipoteze!$C$159,0)+Ipoteze!$C$160)*Ipoteze!$C$8+Ipoteze!C$161)/(Ipoteze!$C$162*C7)</f>
        <v>29</v>
      </c>
      <c r="D99" s="37" t="n">
        <f aca="false">((IF(D8=1,Ipoteze!$C$159,0)+Ipoteze!$C$160)*Ipoteze!$C$8+Ipoteze!D$161)/(Ipoteze!$C$162*D7)</f>
        <v>11.0916666666667</v>
      </c>
      <c r="E99" s="37" t="n">
        <f aca="false">((IF(E8=1,Ipoteze!$C$159,0)+Ipoteze!$C$160)*Ipoteze!$C$8+Ipoteze!E$161)/(Ipoteze!$C$162*E7)</f>
        <v>3.105</v>
      </c>
      <c r="F99" s="37" t="n">
        <f aca="false">((IF(F8=1,Ipoteze!$C$159,0)+Ipoteze!$C$160)*Ipoteze!$C$8+Ipoteze!F$161)/(Ipoteze!$C$162*F7)</f>
        <v>0.77625</v>
      </c>
    </row>
    <row r="100" customFormat="false" ht="15" hidden="false" customHeight="false" outlineLevel="0" collapsed="false">
      <c r="A100" s="17" t="s">
        <v>714</v>
      </c>
      <c r="B100" s="11" t="s">
        <v>683</v>
      </c>
      <c r="C100" s="40" t="n">
        <f aca="false">C98+C99</f>
        <v>284.899540925437</v>
      </c>
      <c r="D100" s="40" t="n">
        <f aca="false">D98+D99</f>
        <v>115.097191872355</v>
      </c>
      <c r="E100" s="40" t="n">
        <f aca="false">E98+E99</f>
        <v>76.2968651622902</v>
      </c>
      <c r="F100" s="40" t="n">
        <f aca="false">F98+F99</f>
        <v>55.9484974375176</v>
      </c>
    </row>
    <row r="101" customFormat="false" ht="15" hidden="false" customHeight="false" outlineLevel="0" collapsed="false">
      <c r="A101" s="17" t="s">
        <v>715</v>
      </c>
      <c r="B101" s="9" t="s">
        <v>685</v>
      </c>
      <c r="C101" s="37" t="n">
        <f aca="false">IF(C10=1,Ipoteze!$C$10/(1+Ipoteze!$C$11),Ipoteze!$C$10)</f>
        <v>249</v>
      </c>
      <c r="D101" s="37" t="n">
        <f aca="false">IF(D10=1,Ipoteze!$C$10/(1+Ipoteze!$C$11),Ipoteze!$C$10)</f>
        <v>205.785123966942</v>
      </c>
      <c r="E101" s="37" t="n">
        <f aca="false">IF(E10=1,Ipoteze!$C$10/(1+Ipoteze!$C$11),Ipoteze!$C$10)</f>
        <v>205.785123966942</v>
      </c>
      <c r="F101" s="37" t="n">
        <f aca="false">IF(F10=1,Ipoteze!$C$10/(1+Ipoteze!$C$11),Ipoteze!$C$10)</f>
        <v>205.785123966942</v>
      </c>
    </row>
    <row r="102" customFormat="false" ht="15" hidden="false" customHeight="false" outlineLevel="0" collapsed="false">
      <c r="A102" s="17" t="s">
        <v>716</v>
      </c>
      <c r="B102" s="11" t="s">
        <v>687</v>
      </c>
      <c r="C102" s="40" t="n">
        <f aca="false">C101-C100</f>
        <v>-35.8995409254368</v>
      </c>
      <c r="D102" s="40" t="n">
        <f aca="false">D101-D100</f>
        <v>90.6879320945875</v>
      </c>
      <c r="E102" s="40" t="n">
        <f aca="false">E101-E100</f>
        <v>129.488258804652</v>
      </c>
      <c r="F102" s="40" t="n">
        <f aca="false">F101-F100</f>
        <v>149.836626529425</v>
      </c>
    </row>
    <row r="103" customFormat="false" ht="15" hidden="false" customHeight="false" outlineLevel="0" collapsed="false">
      <c r="A103" s="17" t="s">
        <v>717</v>
      </c>
      <c r="B103" s="9" t="s">
        <v>689</v>
      </c>
      <c r="C103" s="36" t="n">
        <f aca="false">IF(C101=0,0,C102/C101)</f>
        <v>-0.144174863154365</v>
      </c>
      <c r="D103" s="36" t="n">
        <f aca="false">IF(D101=0,0,D102/D101)</f>
        <v>0.440692360780927</v>
      </c>
      <c r="E103" s="36" t="n">
        <f aca="false">IF(E101=0,0,E102/E101)</f>
        <v>0.629240133147104</v>
      </c>
      <c r="F103" s="36" t="n">
        <f aca="false">IF(F101=0,0,F102/F101)</f>
        <v>0.728121759440175</v>
      </c>
    </row>
    <row r="105" customFormat="false" ht="15" hidden="false" customHeight="false" outlineLevel="0" collapsed="false">
      <c r="A105" s="20" t="s">
        <v>718</v>
      </c>
      <c r="B105" s="21"/>
      <c r="C105" s="21"/>
      <c r="D105" s="21"/>
      <c r="E105" s="21"/>
      <c r="F105" s="21"/>
      <c r="G105" s="21"/>
    </row>
    <row r="106" customFormat="false" ht="15" hidden="false" customHeight="false" outlineLevel="0" collapsed="false">
      <c r="A106" s="17" t="s">
        <v>719</v>
      </c>
      <c r="B106" s="38" t="s">
        <v>720</v>
      </c>
      <c r="C106" s="43" t="n">
        <f aca="false">C83+C48*(1+C11)</f>
        <v>136312.536001961</v>
      </c>
      <c r="D106" s="43" t="n">
        <f aca="false">D83+D48*(1+D11)</f>
        <v>127555.988431373</v>
      </c>
      <c r="E106" s="43" t="n">
        <f aca="false">E83+E48*(1+E11)</f>
        <v>130550.988431373</v>
      </c>
      <c r="F106" s="43" t="n">
        <f aca="false">F83+F48*(1+F11)</f>
        <v>326215.678431373</v>
      </c>
    </row>
    <row r="107" customFormat="false" ht="15" hidden="false" customHeight="false" outlineLevel="0" collapsed="false">
      <c r="A107" s="17" t="s">
        <v>721</v>
      </c>
      <c r="B107" s="9" t="s">
        <v>722</v>
      </c>
      <c r="C107" s="42" t="n">
        <f aca="false">C84+(C42*Ipoteze!$C$134+Ipoteze!$C$135)*(Ipoteze!$C$99+Ipoteze!$C$100)*12*(1+C11)</f>
        <v>7782.72</v>
      </c>
      <c r="D107" s="42" t="n">
        <f aca="false">D84+(D42*Ipoteze!$C$134+Ipoteze!$C$135)*(Ipoteze!$C$99+Ipoteze!$C$100)*12*(1+D11)</f>
        <v>11256</v>
      </c>
      <c r="E107" s="42" t="n">
        <f aca="false">E84+(E42*Ipoteze!$C$134+Ipoteze!$C$135)*(Ipoteze!$C$99+Ipoteze!$C$100)*12*(1+E11)</f>
        <v>18492</v>
      </c>
      <c r="F107" s="42" t="n">
        <f aca="false">F84+(F42*Ipoteze!$C$134+Ipoteze!$C$135)*(Ipoteze!$C$99+Ipoteze!$C$100)*12*(1+F11)</f>
        <v>38592</v>
      </c>
    </row>
    <row r="108" customFormat="false" ht="15" hidden="false" customHeight="false" outlineLevel="0" collapsed="false">
      <c r="A108" s="17" t="s">
        <v>723</v>
      </c>
      <c r="B108" s="9" t="s">
        <v>724</v>
      </c>
      <c r="C108" s="42" t="n">
        <f aca="false">C85</f>
        <v>0</v>
      </c>
      <c r="D108" s="42" t="n">
        <f aca="false">D85</f>
        <v>3294.11764705882</v>
      </c>
      <c r="E108" s="42" t="n">
        <f aca="false">E85</f>
        <v>6588.23529411765</v>
      </c>
      <c r="F108" s="42" t="n">
        <f aca="false">F85</f>
        <v>9882.35294117647</v>
      </c>
    </row>
    <row r="109" customFormat="false" ht="15" hidden="false" customHeight="false" outlineLevel="0" collapsed="false">
      <c r="A109" s="17" t="s">
        <v>725</v>
      </c>
      <c r="B109" s="9" t="s">
        <v>726</v>
      </c>
      <c r="C109" s="42" t="n">
        <f aca="false">C86+(Ipoteze!$C$95+(C44-1)*Ipoteze!$C$96)*(1+Ipoteze!$C$98)*12/Ipoteze!$C$7</f>
        <v>26526.3003302925</v>
      </c>
      <c r="D109" s="42" t="n">
        <f aca="false">D86+(Ipoteze!$C$95+(D44-1)*Ipoteze!$C$96)*(1+Ipoteze!$C$98)*12/Ipoteze!$C$7</f>
        <v>28998.923403586</v>
      </c>
      <c r="E109" s="42" t="n">
        <f aca="false">E86+(Ipoteze!$C$95+(E44-1)*Ipoteze!$C$96)*(1+Ipoteze!$C$98)*12/Ipoteze!$C$7</f>
        <v>72296.7647058824</v>
      </c>
      <c r="F109" s="42" t="n">
        <f aca="false">F86+(Ipoteze!$C$95+(F44-1)*Ipoteze!$C$96)*(1+Ipoteze!$C$98)*12/Ipoteze!$C$7</f>
        <v>132804.705882353</v>
      </c>
    </row>
    <row r="110" customFormat="false" ht="15" hidden="false" customHeight="false" outlineLevel="0" collapsed="false">
      <c r="A110" s="17" t="s">
        <v>727</v>
      </c>
      <c r="B110" s="9" t="s">
        <v>728</v>
      </c>
      <c r="C110" s="42" t="n">
        <f aca="false">C87+C48*(1+C11)/Ipoteze!$C$90</f>
        <v>28627.4081737255</v>
      </c>
      <c r="D110" s="42" t="n">
        <f aca="false">D87+D48*(1+D11)/Ipoteze!$C$90</f>
        <v>28626.0150196078</v>
      </c>
      <c r="E110" s="42" t="n">
        <f aca="false">E87+E48*(1+E11)/Ipoteze!$C$90</f>
        <v>29624.3483529412</v>
      </c>
      <c r="F110" s="42" t="n">
        <f aca="false">F87+F48*(1+F11)/Ipoteze!$C$90</f>
        <v>70414.2370196078</v>
      </c>
    </row>
    <row r="111" customFormat="false" ht="15" hidden="false" customHeight="false" outlineLevel="0" collapsed="false">
      <c r="A111" s="17" t="s">
        <v>729</v>
      </c>
      <c r="B111" s="9" t="s">
        <v>730</v>
      </c>
      <c r="C111" s="42" t="n">
        <f aca="false">Ipoteze!$C$105+Ipoteze!$C$106+Ipoteze!$C$107/Ipoteze!$C$7+(IF(C55&lt;=5,Ipoteze!$C$108*12,Ipoteze!$C$109*12*C55)+Ipoteze!$C$110*C55+Ipoteze!$C$111*12*C55)/Ipoteze!$C$7+Ipoteze!$C$112+Ipoteze!$C$113+Ipoteze!$C$136+Ipoteze!$C$124*C42*C46+Ipoteze!$C$123*Ipoteze!$C$8</f>
        <v>6891.6339882353</v>
      </c>
      <c r="D111" s="42" t="n">
        <f aca="false">Ipoteze!$C$105+Ipoteze!$C$106+Ipoteze!$C$107/Ipoteze!$C$7+(IF(D55&lt;=5,Ipoteze!$C$108*12,Ipoteze!$C$109*12*D55)+Ipoteze!$C$110*D55+Ipoteze!$C$111*12*D55)/Ipoteze!$C$7+Ipoteze!$C$112+Ipoteze!$C$113+Ipoteze!$C$136+Ipoteze!$C$124*D42*D46+Ipoteze!$C$123*Ipoteze!$C$8</f>
        <v>6891.6339882353</v>
      </c>
      <c r="E111" s="42" t="n">
        <f aca="false">Ipoteze!$C$105+Ipoteze!$C$106+Ipoteze!$C$107/Ipoteze!$C$7+(IF(E55&lt;=5,Ipoteze!$C$108*12,Ipoteze!$C$109*12*E55)+Ipoteze!$C$110*E55+Ipoteze!$C$111*12*E55)/Ipoteze!$C$7+Ipoteze!$C$112+Ipoteze!$C$113+Ipoteze!$C$136+Ipoteze!$C$124*E42*E46+Ipoteze!$C$123*Ipoteze!$C$8</f>
        <v>7303.39869411765</v>
      </c>
      <c r="F111" s="42" t="n">
        <f aca="false">Ipoteze!$C$105+Ipoteze!$C$106+Ipoteze!$C$107/Ipoteze!$C$7+(IF(F55&lt;=5,Ipoteze!$C$108*12,Ipoteze!$C$109*12*F55)+Ipoteze!$C$110*F55+Ipoteze!$C$111*12*F55)/Ipoteze!$C$7+Ipoteze!$C$112+Ipoteze!$C$113+Ipoteze!$C$136+Ipoteze!$C$124*F42*F46+Ipoteze!$C$123*Ipoteze!$C$8</f>
        <v>12672.0941215686</v>
      </c>
    </row>
    <row r="112" customFormat="false" ht="15" hidden="false" customHeight="false" outlineLevel="0" collapsed="false">
      <c r="A112" s="17" t="s">
        <v>731</v>
      </c>
      <c r="B112" s="38" t="s">
        <v>657</v>
      </c>
      <c r="C112" s="43" t="n">
        <f aca="false">C107+C108+C109+C110+C111</f>
        <v>69828.0624922533</v>
      </c>
      <c r="D112" s="43" t="n">
        <f aca="false">D107+D108+D109+D110+D111</f>
        <v>79066.690058488</v>
      </c>
      <c r="E112" s="43" t="n">
        <f aca="false">E107+E108+E109+E110+E111</f>
        <v>134304.747047059</v>
      </c>
      <c r="F112" s="43" t="n">
        <f aca="false">F107+F108+F109+F110+F111</f>
        <v>264365.389964706</v>
      </c>
    </row>
    <row r="113" customFormat="false" ht="15" hidden="false" customHeight="false" outlineLevel="0" collapsed="false">
      <c r="A113" s="17" t="s">
        <v>732</v>
      </c>
      <c r="B113" s="9" t="s">
        <v>659</v>
      </c>
      <c r="C113" s="37" t="n">
        <f aca="false">C20</f>
        <v>73.3943616</v>
      </c>
      <c r="D113" s="37" t="n">
        <f aca="false">D20</f>
        <v>43.52198624</v>
      </c>
      <c r="E113" s="37" t="n">
        <f aca="false">E20</f>
        <v>32.86485216</v>
      </c>
      <c r="F113" s="37" t="n">
        <f aca="false">F20</f>
        <v>27.47069898</v>
      </c>
    </row>
    <row r="114" customFormat="false" ht="15" hidden="false" customHeight="false" outlineLevel="0" collapsed="false">
      <c r="A114" s="17" t="s">
        <v>733</v>
      </c>
      <c r="B114" s="9" t="s">
        <v>661</v>
      </c>
      <c r="C114" s="37" t="n">
        <f aca="false">C23</f>
        <v>0</v>
      </c>
      <c r="D114" s="37" t="n">
        <f aca="false">D23</f>
        <v>4</v>
      </c>
      <c r="E114" s="37" t="n">
        <f aca="false">E23</f>
        <v>2.5</v>
      </c>
      <c r="F114" s="37" t="n">
        <f aca="false">F23</f>
        <v>1.8</v>
      </c>
    </row>
    <row r="115" customFormat="false" ht="15" hidden="false" customHeight="false" outlineLevel="0" collapsed="false">
      <c r="A115" s="17" t="s">
        <v>734</v>
      </c>
      <c r="B115" s="9" t="s">
        <v>735</v>
      </c>
      <c r="C115" s="37" t="n">
        <f aca="false">C28</f>
        <v>10.5071487603306</v>
      </c>
      <c r="D115" s="37" t="n">
        <f aca="false">D28</f>
        <v>9.85714876033058</v>
      </c>
      <c r="E115" s="37" t="n">
        <f aca="false">E28</f>
        <v>8.51314876033058</v>
      </c>
      <c r="F115" s="37" t="n">
        <f aca="false">F28</f>
        <v>7.72814876033058</v>
      </c>
    </row>
    <row r="116" customFormat="false" ht="15" hidden="false" customHeight="false" outlineLevel="0" collapsed="false">
      <c r="A116" s="17" t="s">
        <v>736</v>
      </c>
      <c r="B116" s="9" t="s">
        <v>737</v>
      </c>
      <c r="C116" s="37" t="n">
        <f aca="false">IF(C7&gt;=Ipoteze!$C$24,0,Ipoteze!C$60)</f>
        <v>2</v>
      </c>
      <c r="D116" s="37" t="n">
        <f aca="false">IF(D7&gt;=Ipoteze!$C$24,0,Ipoteze!D$60)</f>
        <v>0</v>
      </c>
      <c r="E116" s="37" t="n">
        <f aca="false">IF(E7&gt;=Ipoteze!$C$24,0,Ipoteze!E$60)</f>
        <v>0</v>
      </c>
      <c r="F116" s="37" t="n">
        <f aca="false">IF(F7&gt;=Ipoteze!$C$24,0,Ipoteze!F$60)</f>
        <v>0</v>
      </c>
    </row>
    <row r="117" customFormat="false" ht="15" hidden="false" customHeight="false" outlineLevel="0" collapsed="false">
      <c r="A117" s="17" t="s">
        <v>738</v>
      </c>
      <c r="B117" s="9" t="s">
        <v>671</v>
      </c>
      <c r="C117" s="37" t="n">
        <f aca="false">(C113+C114)*Ipoteze!$C$73</f>
        <v>2.201830848</v>
      </c>
      <c r="D117" s="37" t="n">
        <f aca="false">(D113+D114)*Ipoteze!$C$73</f>
        <v>1.4256595872</v>
      </c>
      <c r="E117" s="37" t="n">
        <f aca="false">(E113+E114)*Ipoteze!$C$73</f>
        <v>1.0609455648</v>
      </c>
      <c r="F117" s="37" t="n">
        <f aca="false">(F113+F114)*Ipoteze!$C$73</f>
        <v>0.8781209694</v>
      </c>
    </row>
    <row r="118" customFormat="false" ht="15" hidden="false" customHeight="false" outlineLevel="0" collapsed="false">
      <c r="A118" s="17" t="s">
        <v>739</v>
      </c>
      <c r="B118" s="9" t="s">
        <v>673</v>
      </c>
      <c r="C118" s="37" t="n">
        <f aca="false">(C113+C114+C115+C116+C117)*C11</f>
        <v>18.5017016537494</v>
      </c>
      <c r="D118" s="37" t="n">
        <f aca="false">(D113+D114+D115+D116+D117)*D11</f>
        <v>0</v>
      </c>
      <c r="E118" s="37" t="n">
        <f aca="false">(E113+E114+E115+E116+E117)*E11</f>
        <v>0</v>
      </c>
      <c r="F118" s="37" t="n">
        <f aca="false">(F113+F114+F115+F116+F117)*F11</f>
        <v>0</v>
      </c>
    </row>
    <row r="119" customFormat="false" ht="15" hidden="false" customHeight="false" outlineLevel="0" collapsed="false">
      <c r="A119" s="17" t="s">
        <v>740</v>
      </c>
      <c r="B119" s="38" t="s">
        <v>675</v>
      </c>
      <c r="C119" s="39" t="n">
        <f aca="false">C113+C114+C115+C116+C117+C118</f>
        <v>106.60504286208</v>
      </c>
      <c r="D119" s="39" t="n">
        <f aca="false">D113+D114+D115+D116+D117+D118</f>
        <v>58.8047945875306</v>
      </c>
      <c r="E119" s="39" t="n">
        <f aca="false">E113+E114+E115+E116+E117+E118</f>
        <v>44.9389464851306</v>
      </c>
      <c r="F119" s="39" t="n">
        <f aca="false">F113+F114+F115+F116+F117+F118</f>
        <v>37.8769687097306</v>
      </c>
    </row>
    <row r="120" customFormat="false" ht="15" hidden="false" customHeight="false" outlineLevel="0" collapsed="false">
      <c r="A120" s="17" t="s">
        <v>741</v>
      </c>
      <c r="B120" s="9" t="s">
        <v>677</v>
      </c>
      <c r="C120" s="37" t="n">
        <f aca="false">C112/C7</f>
        <v>698.280624922533</v>
      </c>
      <c r="D120" s="37" t="n">
        <f aca="false">D112/D7</f>
        <v>79.066690058488</v>
      </c>
      <c r="E120" s="37" t="n">
        <f aca="false">E112/E7</f>
        <v>26.8609494094118</v>
      </c>
      <c r="F120" s="37" t="n">
        <f aca="false">F112/F7</f>
        <v>13.2182694982353</v>
      </c>
    </row>
    <row r="121" customFormat="false" ht="15" hidden="false" customHeight="false" outlineLevel="0" collapsed="false">
      <c r="A121" s="17" t="s">
        <v>742</v>
      </c>
      <c r="B121" s="38" t="s">
        <v>679</v>
      </c>
      <c r="C121" s="39" t="n">
        <f aca="false">C119+C120</f>
        <v>804.885667784613</v>
      </c>
      <c r="D121" s="39" t="n">
        <f aca="false">D119+D120</f>
        <v>137.871484646019</v>
      </c>
      <c r="E121" s="39" t="n">
        <f aca="false">E119+E120</f>
        <v>71.7998958945424</v>
      </c>
      <c r="F121" s="39" t="n">
        <f aca="false">F119+F120</f>
        <v>51.0952382079659</v>
      </c>
    </row>
    <row r="122" customFormat="false" ht="15" hidden="false" customHeight="false" outlineLevel="0" collapsed="false">
      <c r="A122" s="17" t="s">
        <v>743</v>
      </c>
      <c r="B122" s="9" t="s">
        <v>681</v>
      </c>
      <c r="C122" s="37" t="n">
        <f aca="false">((IF(C8=1,Ipoteze!$C$159,0)+Ipoteze!$C$160)*Ipoteze!$C$8+Ipoteze!C$161)/(Ipoteze!$C$162*C7)</f>
        <v>29</v>
      </c>
      <c r="D122" s="37" t="n">
        <f aca="false">((IF(D8=1,Ipoteze!$C$159,0)+Ipoteze!$C$160)*Ipoteze!$C$8+Ipoteze!D$161)/(Ipoteze!$C$162*D7)</f>
        <v>11.0916666666667</v>
      </c>
      <c r="E122" s="37" t="n">
        <f aca="false">((IF(E8=1,Ipoteze!$C$159,0)+Ipoteze!$C$160)*Ipoteze!$C$8+Ipoteze!E$161)/(Ipoteze!$C$162*E7)</f>
        <v>3.105</v>
      </c>
      <c r="F122" s="37" t="n">
        <f aca="false">((IF(F8=1,Ipoteze!$C$159,0)+Ipoteze!$C$160)*Ipoteze!$C$8+Ipoteze!F$161)/(Ipoteze!$C$162*F7)</f>
        <v>0.77625</v>
      </c>
    </row>
    <row r="123" customFormat="false" ht="15" hidden="false" customHeight="false" outlineLevel="0" collapsed="false">
      <c r="A123" s="17" t="s">
        <v>744</v>
      </c>
      <c r="B123" s="11" t="s">
        <v>683</v>
      </c>
      <c r="C123" s="40" t="n">
        <f aca="false">C121+C122</f>
        <v>833.885667784613</v>
      </c>
      <c r="D123" s="40" t="n">
        <f aca="false">D121+D122</f>
        <v>148.963151312685</v>
      </c>
      <c r="E123" s="40" t="n">
        <f aca="false">E121+E122</f>
        <v>74.9048958945424</v>
      </c>
      <c r="F123" s="40" t="n">
        <f aca="false">F121+F122</f>
        <v>51.8714882079659</v>
      </c>
    </row>
    <row r="124" customFormat="false" ht="15" hidden="false" customHeight="false" outlineLevel="0" collapsed="false">
      <c r="A124" s="17" t="s">
        <v>745</v>
      </c>
      <c r="B124" s="9" t="s">
        <v>685</v>
      </c>
      <c r="C124" s="37" t="n">
        <f aca="false">IF(C10=1,Ipoteze!$C$10/(1+Ipoteze!$C$11),Ipoteze!$C$10)</f>
        <v>249</v>
      </c>
      <c r="D124" s="37" t="n">
        <f aca="false">IF(D10=1,Ipoteze!$C$10/(1+Ipoteze!$C$11),Ipoteze!$C$10)</f>
        <v>205.785123966942</v>
      </c>
      <c r="E124" s="37" t="n">
        <f aca="false">IF(E10=1,Ipoteze!$C$10/(1+Ipoteze!$C$11),Ipoteze!$C$10)</f>
        <v>205.785123966942</v>
      </c>
      <c r="F124" s="37" t="n">
        <f aca="false">IF(F10=1,Ipoteze!$C$10/(1+Ipoteze!$C$11),Ipoteze!$C$10)</f>
        <v>205.785123966942</v>
      </c>
    </row>
    <row r="125" customFormat="false" ht="15" hidden="false" customHeight="false" outlineLevel="0" collapsed="false">
      <c r="A125" s="17" t="s">
        <v>746</v>
      </c>
      <c r="B125" s="11" t="s">
        <v>687</v>
      </c>
      <c r="C125" s="40" t="n">
        <f aca="false">C124-C123</f>
        <v>-584.885667784613</v>
      </c>
      <c r="D125" s="40" t="n">
        <f aca="false">D124-D123</f>
        <v>56.8219726542569</v>
      </c>
      <c r="E125" s="40" t="n">
        <f aca="false">E124-E123</f>
        <v>130.8802280724</v>
      </c>
      <c r="F125" s="40" t="n">
        <f aca="false">F124-F123</f>
        <v>153.913635758976</v>
      </c>
    </row>
    <row r="126" customFormat="false" ht="15" hidden="false" customHeight="false" outlineLevel="0" collapsed="false">
      <c r="A126" s="17" t="s">
        <v>747</v>
      </c>
      <c r="B126" s="9" t="s">
        <v>689</v>
      </c>
      <c r="C126" s="36" t="n">
        <f aca="false">IF(C124=0,0,C125/C124)</f>
        <v>-2.3489384248378</v>
      </c>
      <c r="D126" s="36" t="n">
        <f aca="false">IF(D124=0,0,D125/D124)</f>
        <v>0.276122839002614</v>
      </c>
      <c r="E126" s="36" t="n">
        <f aca="false">IF(E124=0,0,E125/E124)</f>
        <v>0.636004321155035</v>
      </c>
      <c r="F126" s="36" t="n">
        <f aca="false">IF(F124=0,0,F125/F124)</f>
        <v>0.747933732001451</v>
      </c>
    </row>
    <row r="128" customFormat="false" ht="15" hidden="false" customHeight="false" outlineLevel="0" collapsed="false">
      <c r="A128" s="20" t="s">
        <v>748</v>
      </c>
      <c r="B128" s="21"/>
      <c r="C128" s="21"/>
      <c r="D128" s="21"/>
      <c r="E128" s="21"/>
      <c r="F128" s="21"/>
      <c r="G128" s="21"/>
    </row>
    <row r="129" customFormat="false" ht="15" hidden="false" customHeight="false" outlineLevel="0" collapsed="false">
      <c r="A129" s="17" t="s">
        <v>749</v>
      </c>
      <c r="B129" s="38" t="s">
        <v>750</v>
      </c>
      <c r="C129" s="43" t="n">
        <f aca="false">C106+C54*(1+C11)</f>
        <v>180441.744201961</v>
      </c>
      <c r="D129" s="43" t="n">
        <f aca="false">D106+D54*(1+D11)</f>
        <v>164026.408431373</v>
      </c>
      <c r="E129" s="43" t="n">
        <f aca="false">E106+E54*(1+E11)</f>
        <v>167021.408431373</v>
      </c>
      <c r="F129" s="43" t="n">
        <f aca="false">F106+F54*(1+F11)</f>
        <v>362686.098431373</v>
      </c>
    </row>
    <row r="130" customFormat="false" ht="15" hidden="false" customHeight="false" outlineLevel="0" collapsed="false">
      <c r="A130" s="17" t="s">
        <v>751</v>
      </c>
      <c r="B130" s="9" t="s">
        <v>694</v>
      </c>
      <c r="C130" s="42" t="n">
        <f aca="false">C107+C50*Ipoteze!$C$155*(Ipoteze!$C$99+Ipoteze!$C$100)*12*(1+C11)</f>
        <v>12646.92</v>
      </c>
      <c r="D130" s="42" t="n">
        <f aca="false">D107+D50*Ipoteze!$C$155*(Ipoteze!$C$99+Ipoteze!$C$100)*12*(1+D11)</f>
        <v>15276</v>
      </c>
      <c r="E130" s="42" t="n">
        <f aca="false">E107+E50*Ipoteze!$C$155*(Ipoteze!$C$99+Ipoteze!$C$100)*12*(1+E11)</f>
        <v>22512</v>
      </c>
      <c r="F130" s="42" t="n">
        <f aca="false">F107+F50*Ipoteze!$C$155*(Ipoteze!$C$99+Ipoteze!$C$100)*12*(1+F11)</f>
        <v>42612</v>
      </c>
    </row>
    <row r="131" customFormat="false" ht="15" hidden="false" customHeight="false" outlineLevel="0" collapsed="false">
      <c r="A131" s="17" t="s">
        <v>752</v>
      </c>
      <c r="B131" s="9" t="s">
        <v>753</v>
      </c>
      <c r="C131" s="42" t="n">
        <f aca="false">C108+Ipoteze!$C$154*Ipoteze!$C$16*Ipoteze!$C$15*C51*C50*Ipoteze!$C$101/Ipoteze!$C$7*(1+C11)</f>
        <v>993.813333333333</v>
      </c>
      <c r="D131" s="42" t="n">
        <f aca="false">D108+Ipoteze!$C$154*Ipoteze!$C$16*Ipoteze!$C$15*D51*D50*Ipoteze!$C$101/Ipoteze!$C$7*(1+D11)</f>
        <v>4115.45098039216</v>
      </c>
      <c r="E131" s="42" t="n">
        <f aca="false">E108+Ipoteze!$C$154*Ipoteze!$C$16*Ipoteze!$C$15*E51*E50*Ipoteze!$C$101/Ipoteze!$C$7*(1+E11)</f>
        <v>7409.56862745098</v>
      </c>
      <c r="F131" s="42" t="n">
        <f aca="false">F108+Ipoteze!$C$154*Ipoteze!$C$16*Ipoteze!$C$15*F51*F50*Ipoteze!$C$101/Ipoteze!$C$7*(1+F11)</f>
        <v>10703.6862745098</v>
      </c>
    </row>
    <row r="132" customFormat="false" ht="15" hidden="false" customHeight="false" outlineLevel="0" collapsed="false">
      <c r="A132" s="17" t="s">
        <v>754</v>
      </c>
      <c r="B132" s="9" t="s">
        <v>755</v>
      </c>
      <c r="C132" s="42" t="n">
        <f aca="false">C109+C52*Ipoteze!$C$94*(1+Ipoteze!$C$98)*12/Ipoteze!$C$7</f>
        <v>42164.5356244102</v>
      </c>
      <c r="D132" s="42" t="n">
        <f aca="false">D109+D52*Ipoteze!$C$94*(1+Ipoteze!$C$98)*12/Ipoteze!$C$7</f>
        <v>44637.1586977037</v>
      </c>
      <c r="E132" s="42" t="n">
        <f aca="false">E109+E52*Ipoteze!$C$94*(1+Ipoteze!$C$98)*12/Ipoteze!$C$7</f>
        <v>87935</v>
      </c>
      <c r="F132" s="42" t="n">
        <f aca="false">F109+F52*Ipoteze!$C$94*(1+Ipoteze!$C$98)*12/Ipoteze!$C$7</f>
        <v>148442.941176471</v>
      </c>
    </row>
    <row r="133" customFormat="false" ht="15" hidden="false" customHeight="false" outlineLevel="0" collapsed="false">
      <c r="A133" s="17" t="s">
        <v>756</v>
      </c>
      <c r="B133" s="9" t="s">
        <v>653</v>
      </c>
      <c r="C133" s="42" t="n">
        <f aca="false">C110+C54*(1+C11)/Ipoteze!$C$90</f>
        <v>37453.2498137255</v>
      </c>
      <c r="D133" s="42" t="n">
        <f aca="false">D110+D54*(1+D11)/Ipoteze!$C$90</f>
        <v>35920.0990196078</v>
      </c>
      <c r="E133" s="42" t="n">
        <f aca="false">E110+E54*(1+E11)/Ipoteze!$C$90</f>
        <v>36918.4323529412</v>
      </c>
      <c r="F133" s="42" t="n">
        <f aca="false">F110+F54*(1+F11)/Ipoteze!$C$90</f>
        <v>77708.3210196078</v>
      </c>
    </row>
    <row r="134" customFormat="false" ht="15" hidden="false" customHeight="false" outlineLevel="0" collapsed="false">
      <c r="A134" s="17" t="s">
        <v>757</v>
      </c>
      <c r="B134" s="9" t="s">
        <v>758</v>
      </c>
      <c r="C134" s="42" t="n">
        <f aca="false">Ipoteze!$C$105+Ipoteze!$C$106+Ipoteze!$C$107/Ipoteze!$C$7+(IF(C56&lt;=5,Ipoteze!$C$108*12,Ipoteze!$C$109*12*C56)+Ipoteze!$C$110*C56+Ipoteze!$C$111*12*C56)/Ipoteze!$C$7+Ipoteze!$C$112+Ipoteze!$C$113+Ipoteze!$C$136+Ipoteze!$C$124*(C42*C46+C54)+Ipoteze!$C$123*Ipoteze!$C$8+Ipoteze!$C$156</f>
        <v>8423.00149019608</v>
      </c>
      <c r="D134" s="42" t="n">
        <f aca="false">Ipoteze!$C$105+Ipoteze!$C$106+Ipoteze!$C$107/Ipoteze!$C$7+(IF(D56&lt;=5,Ipoteze!$C$108*12,Ipoteze!$C$109*12*D56)+Ipoteze!$C$110*D56+Ipoteze!$C$111*12*D56)/Ipoteze!$C$7+Ipoteze!$C$112+Ipoteze!$C$113+Ipoteze!$C$136+Ipoteze!$C$124*(D42*D46+D54)+Ipoteze!$C$123*Ipoteze!$C$8+Ipoteze!$C$156</f>
        <v>8423.00149019608</v>
      </c>
      <c r="E134" s="42" t="n">
        <f aca="false">Ipoteze!$C$105+Ipoteze!$C$106+Ipoteze!$C$107/Ipoteze!$C$7+(IF(E56&lt;=5,Ipoteze!$C$108*12,Ipoteze!$C$109*12*E56)+Ipoteze!$C$110*E56+Ipoteze!$C$111*12*E56)/Ipoteze!$C$7+Ipoteze!$C$112+Ipoteze!$C$113+Ipoteze!$C$136+Ipoteze!$C$124*(E42*E46+E54)+Ipoteze!$C$123*Ipoteze!$C$8+Ipoteze!$C$156</f>
        <v>8863.00149019608</v>
      </c>
      <c r="F134" s="42" t="n">
        <f aca="false">Ipoteze!$C$105+Ipoteze!$C$106+Ipoteze!$C$107/Ipoteze!$C$7+(IF(F56&lt;=5,Ipoteze!$C$108*12,Ipoteze!$C$109*12*F56)+Ipoteze!$C$110*F56+Ipoteze!$C$111*12*F56)/Ipoteze!$C$7+Ipoteze!$C$112+Ipoteze!$C$113+Ipoteze!$C$136+Ipoteze!$C$124*(F42*F46+F54)+Ipoteze!$C$123*Ipoteze!$C$8+Ipoteze!$C$156</f>
        <v>14255.2263294118</v>
      </c>
    </row>
    <row r="135" customFormat="false" ht="15" hidden="false" customHeight="false" outlineLevel="0" collapsed="false">
      <c r="A135" s="17" t="s">
        <v>759</v>
      </c>
      <c r="B135" s="38" t="s">
        <v>657</v>
      </c>
      <c r="C135" s="43" t="n">
        <f aca="false">C130+C131+C132+C133+C134</f>
        <v>101681.520261665</v>
      </c>
      <c r="D135" s="43" t="n">
        <f aca="false">D130+D131+D132+D133+D134</f>
        <v>108371.7101879</v>
      </c>
      <c r="E135" s="43" t="n">
        <f aca="false">E130+E131+E132+E133+E134</f>
        <v>163638.002470588</v>
      </c>
      <c r="F135" s="43" t="n">
        <f aca="false">F130+F131+F132+F133+F134</f>
        <v>293722.1748</v>
      </c>
    </row>
    <row r="136" customFormat="false" ht="15" hidden="false" customHeight="false" outlineLevel="0" collapsed="false">
      <c r="A136" s="17" t="s">
        <v>760</v>
      </c>
      <c r="B136" s="9" t="s">
        <v>761</v>
      </c>
      <c r="C136" s="37" t="n">
        <f aca="false">C20</f>
        <v>73.3943616</v>
      </c>
      <c r="D136" s="37" t="n">
        <f aca="false">D20</f>
        <v>43.52198624</v>
      </c>
      <c r="E136" s="37" t="n">
        <f aca="false">E20</f>
        <v>32.86485216</v>
      </c>
      <c r="F136" s="37" t="n">
        <f aca="false">F20</f>
        <v>27.47069898</v>
      </c>
    </row>
    <row r="137" customFormat="false" ht="15" hidden="false" customHeight="false" outlineLevel="0" collapsed="false">
      <c r="A137" s="17" t="s">
        <v>762</v>
      </c>
      <c r="B137" s="9" t="s">
        <v>763</v>
      </c>
      <c r="C137" s="37" t="n">
        <f aca="false">C30</f>
        <v>0</v>
      </c>
      <c r="D137" s="37" t="n">
        <f aca="false">D30</f>
        <v>0.320843</v>
      </c>
      <c r="E137" s="37" t="n">
        <f aca="false">E30</f>
        <v>0.306488</v>
      </c>
      <c r="F137" s="37" t="n">
        <f aca="false">F30</f>
        <v>0.295787</v>
      </c>
    </row>
    <row r="138" customFormat="false" ht="15" hidden="false" customHeight="false" outlineLevel="0" collapsed="false">
      <c r="A138" s="17" t="s">
        <v>764</v>
      </c>
      <c r="B138" s="9" t="s">
        <v>735</v>
      </c>
      <c r="C138" s="37" t="n">
        <f aca="false">C28</f>
        <v>10.5071487603306</v>
      </c>
      <c r="D138" s="37" t="n">
        <f aca="false">D28</f>
        <v>9.85714876033058</v>
      </c>
      <c r="E138" s="37" t="n">
        <f aca="false">E28</f>
        <v>8.51314876033058</v>
      </c>
      <c r="F138" s="37" t="n">
        <f aca="false">F28</f>
        <v>7.72814876033058</v>
      </c>
    </row>
    <row r="139" customFormat="false" ht="15" hidden="false" customHeight="false" outlineLevel="0" collapsed="false">
      <c r="A139" s="17" t="s">
        <v>765</v>
      </c>
      <c r="B139" s="9" t="s">
        <v>737</v>
      </c>
      <c r="C139" s="37" t="n">
        <f aca="false">IF(C7&gt;=Ipoteze!$C$24,0,Ipoteze!C$60)</f>
        <v>2</v>
      </c>
      <c r="D139" s="37" t="n">
        <f aca="false">IF(D7&gt;=Ipoteze!$C$24,0,Ipoteze!D$60)</f>
        <v>0</v>
      </c>
      <c r="E139" s="37" t="n">
        <f aca="false">IF(E7&gt;=Ipoteze!$C$24,0,Ipoteze!E$60)</f>
        <v>0</v>
      </c>
      <c r="F139" s="37" t="n">
        <f aca="false">IF(F7&gt;=Ipoteze!$C$24,0,Ipoteze!F$60)</f>
        <v>0</v>
      </c>
    </row>
    <row r="140" customFormat="false" ht="15" hidden="false" customHeight="false" outlineLevel="0" collapsed="false">
      <c r="A140" s="17" t="s">
        <v>766</v>
      </c>
      <c r="B140" s="9" t="s">
        <v>671</v>
      </c>
      <c r="C140" s="37" t="n">
        <f aca="false">(C136+C137)*Ipoteze!$C$73</f>
        <v>2.201830848</v>
      </c>
      <c r="D140" s="37" t="n">
        <f aca="false">(D136+D137)*Ipoteze!$C$73</f>
        <v>1.3152848772</v>
      </c>
      <c r="E140" s="37" t="n">
        <f aca="false">(E136+E137)*Ipoteze!$C$73</f>
        <v>0.9951402048</v>
      </c>
      <c r="F140" s="37" t="n">
        <f aca="false">(F136+F137)*Ipoteze!$C$73</f>
        <v>0.8329945794</v>
      </c>
    </row>
    <row r="141" customFormat="false" ht="15" hidden="false" customHeight="false" outlineLevel="0" collapsed="false">
      <c r="A141" s="17" t="s">
        <v>767</v>
      </c>
      <c r="B141" s="9" t="s">
        <v>673</v>
      </c>
      <c r="C141" s="37" t="n">
        <f aca="false">(C136+C137+C138+C139+C140)*C11</f>
        <v>18.5017016537494</v>
      </c>
      <c r="D141" s="37" t="n">
        <f aca="false">(D136+D137+D138+D139+D140)*D11</f>
        <v>0</v>
      </c>
      <c r="E141" s="37" t="n">
        <f aca="false">(E136+E137+E138+E139+E140)*E11</f>
        <v>0</v>
      </c>
      <c r="F141" s="37" t="n">
        <f aca="false">(F136+F137+F138+F139+F140)*F11</f>
        <v>0</v>
      </c>
    </row>
    <row r="142" customFormat="false" ht="15" hidden="false" customHeight="false" outlineLevel="0" collapsed="false">
      <c r="A142" s="17" t="s">
        <v>768</v>
      </c>
      <c r="B142" s="38" t="s">
        <v>675</v>
      </c>
      <c r="C142" s="39" t="n">
        <f aca="false">C136+C137+C138+C139+C140+C141</f>
        <v>106.60504286208</v>
      </c>
      <c r="D142" s="39" t="n">
        <f aca="false">D136+D137+D138+D139+D140+D141</f>
        <v>55.0152628775306</v>
      </c>
      <c r="E142" s="39" t="n">
        <f aca="false">E136+E137+E138+E139+E140+E141</f>
        <v>42.6796291251306</v>
      </c>
      <c r="F142" s="39" t="n">
        <f aca="false">F136+F137+F138+F139+F140+F141</f>
        <v>36.3276293197306</v>
      </c>
    </row>
    <row r="143" customFormat="false" ht="15" hidden="false" customHeight="false" outlineLevel="0" collapsed="false">
      <c r="A143" s="17" t="s">
        <v>769</v>
      </c>
      <c r="B143" s="9" t="s">
        <v>677</v>
      </c>
      <c r="C143" s="37" t="n">
        <f aca="false">C135/C7</f>
        <v>1016.81520261665</v>
      </c>
      <c r="D143" s="37" t="n">
        <f aca="false">D135/D7</f>
        <v>108.3717101879</v>
      </c>
      <c r="E143" s="37" t="n">
        <f aca="false">E135/E7</f>
        <v>32.7276004941176</v>
      </c>
      <c r="F143" s="37" t="n">
        <f aca="false">F135/F7</f>
        <v>14.68610874</v>
      </c>
    </row>
    <row r="144" customFormat="false" ht="15" hidden="false" customHeight="false" outlineLevel="0" collapsed="false">
      <c r="A144" s="17" t="s">
        <v>770</v>
      </c>
      <c r="B144" s="38" t="s">
        <v>679</v>
      </c>
      <c r="C144" s="39" t="n">
        <f aca="false">C142+C143</f>
        <v>1123.42024547873</v>
      </c>
      <c r="D144" s="39" t="n">
        <f aca="false">D142+D143</f>
        <v>163.38697306543</v>
      </c>
      <c r="E144" s="39" t="n">
        <f aca="false">E142+E143</f>
        <v>75.4072296192482</v>
      </c>
      <c r="F144" s="39" t="n">
        <f aca="false">F142+F143</f>
        <v>51.0137380597306</v>
      </c>
    </row>
    <row r="145" customFormat="false" ht="15" hidden="false" customHeight="false" outlineLevel="0" collapsed="false">
      <c r="A145" s="17" t="s">
        <v>771</v>
      </c>
      <c r="B145" s="9" t="s">
        <v>681</v>
      </c>
      <c r="C145" s="37" t="n">
        <f aca="false">((IF(C8=1,Ipoteze!$C$159,0)+Ipoteze!$C$160)*Ipoteze!$C$8+Ipoteze!C$161)/(Ipoteze!$C$162*C7)</f>
        <v>29</v>
      </c>
      <c r="D145" s="37" t="n">
        <f aca="false">((IF(D8=1,Ipoteze!$C$159,0)+Ipoteze!$C$160)*Ipoteze!$C$8+Ipoteze!D$161)/(Ipoteze!$C$162*D7)</f>
        <v>11.0916666666667</v>
      </c>
      <c r="E145" s="37" t="n">
        <f aca="false">((IF(E8=1,Ipoteze!$C$159,0)+Ipoteze!$C$160)*Ipoteze!$C$8+Ipoteze!E$161)/(Ipoteze!$C$162*E7)</f>
        <v>3.105</v>
      </c>
      <c r="F145" s="37" t="n">
        <f aca="false">((IF(F8=1,Ipoteze!$C$159,0)+Ipoteze!$C$160)*Ipoteze!$C$8+Ipoteze!F$161)/(Ipoteze!$C$162*F7)</f>
        <v>0.77625</v>
      </c>
    </row>
    <row r="146" customFormat="false" ht="15" hidden="false" customHeight="false" outlineLevel="0" collapsed="false">
      <c r="A146" s="17" t="s">
        <v>772</v>
      </c>
      <c r="B146" s="11" t="s">
        <v>683</v>
      </c>
      <c r="C146" s="40" t="n">
        <f aca="false">C144+C145</f>
        <v>1152.42024547873</v>
      </c>
      <c r="D146" s="40" t="n">
        <f aca="false">D144+D145</f>
        <v>174.478639732097</v>
      </c>
      <c r="E146" s="40" t="n">
        <f aca="false">E144+E145</f>
        <v>78.5122296192482</v>
      </c>
      <c r="F146" s="40" t="n">
        <f aca="false">F144+F145</f>
        <v>51.7899880597306</v>
      </c>
    </row>
    <row r="147" customFormat="false" ht="15" hidden="false" customHeight="false" outlineLevel="0" collapsed="false">
      <c r="A147" s="17" t="s">
        <v>773</v>
      </c>
      <c r="B147" s="9" t="s">
        <v>685</v>
      </c>
      <c r="C147" s="37" t="n">
        <f aca="false">IF(C10=1,Ipoteze!$C$10/(1+Ipoteze!$C$11),Ipoteze!$C$10)</f>
        <v>249</v>
      </c>
      <c r="D147" s="37" t="n">
        <f aca="false">IF(D10=1,Ipoteze!$C$10/(1+Ipoteze!$C$11),Ipoteze!$C$10)</f>
        <v>205.785123966942</v>
      </c>
      <c r="E147" s="37" t="n">
        <f aca="false">IF(E10=1,Ipoteze!$C$10/(1+Ipoteze!$C$11),Ipoteze!$C$10)</f>
        <v>205.785123966942</v>
      </c>
      <c r="F147" s="37" t="n">
        <f aca="false">IF(F10=1,Ipoteze!$C$10/(1+Ipoteze!$C$11),Ipoteze!$C$10)</f>
        <v>205.785123966942</v>
      </c>
    </row>
    <row r="148" customFormat="false" ht="15" hidden="false" customHeight="false" outlineLevel="0" collapsed="false">
      <c r="A148" s="17" t="s">
        <v>774</v>
      </c>
      <c r="B148" s="11" t="s">
        <v>687</v>
      </c>
      <c r="C148" s="40" t="n">
        <f aca="false">C147-C146</f>
        <v>-903.420245478731</v>
      </c>
      <c r="D148" s="40" t="n">
        <f aca="false">D147-D146</f>
        <v>31.3064842348451</v>
      </c>
      <c r="E148" s="40" t="n">
        <f aca="false">E147-E146</f>
        <v>127.272894347694</v>
      </c>
      <c r="F148" s="40" t="n">
        <f aca="false">F147-F146</f>
        <v>153.995135907212</v>
      </c>
    </row>
    <row r="149" customFormat="false" ht="15" hidden="false" customHeight="false" outlineLevel="0" collapsed="false">
      <c r="A149" s="17" t="s">
        <v>775</v>
      </c>
      <c r="B149" s="9" t="s">
        <v>689</v>
      </c>
      <c r="C149" s="36" t="n">
        <f aca="false">IF(C147=0,0,C148/C147)</f>
        <v>-3.62819375694269</v>
      </c>
      <c r="D149" s="36" t="n">
        <f aca="false">IF(D147=0,0,D148/D147)</f>
        <v>0.152131911342018</v>
      </c>
      <c r="E149" s="36" t="n">
        <f aca="false">IF(E147=0,0,E148/E147)</f>
        <v>0.61847470747273</v>
      </c>
      <c r="F149" s="36" t="n">
        <f aca="false">IF(F147=0,0,F148/F147)</f>
        <v>0.748329776898498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16" min="3" style="0" width="13"/>
  </cols>
  <sheetData>
    <row r="1" customFormat="false" ht="17.35" hidden="false" customHeight="false" outlineLevel="0" collapsed="false">
      <c r="A1" s="5" t="s">
        <v>776</v>
      </c>
    </row>
    <row r="2" customFormat="false" ht="31.5" hidden="false" customHeight="true" outlineLevel="0" collapsed="false">
      <c r="A2" s="6" t="s">
        <v>777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5" customFormat="false" ht="15" hidden="false" customHeight="false" outlineLevel="0" collapsed="false">
      <c r="A5" s="20" t="s">
        <v>778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customFormat="false" ht="15" hidden="false" customHeight="false" outlineLevel="0" collapsed="false">
      <c r="A6" s="17" t="s">
        <v>779</v>
      </c>
      <c r="B6" s="11" t="s">
        <v>780</v>
      </c>
      <c r="C6" s="44" t="n">
        <f aca="false">Ipoteze!C$9</f>
        <v>100</v>
      </c>
      <c r="D6" s="44" t="n">
        <f aca="false">Ipoteze!D$9</f>
        <v>1000</v>
      </c>
      <c r="E6" s="44" t="n">
        <f aca="false">Ipoteze!E$9</f>
        <v>5000</v>
      </c>
      <c r="F6" s="44" t="n">
        <f aca="false">Ipoteze!F$9</f>
        <v>20000</v>
      </c>
    </row>
    <row r="7" customFormat="false" ht="15" hidden="false" customHeight="false" outlineLevel="0" collapsed="false">
      <c r="A7" s="17" t="s">
        <v>781</v>
      </c>
      <c r="B7" s="9" t="s">
        <v>782</v>
      </c>
      <c r="C7" s="37" t="n">
        <f aca="false">Scenarii!C25</f>
        <v>71.46414</v>
      </c>
      <c r="D7" s="37" t="n">
        <f aca="false">Scenarii!D25</f>
        <v>31.842824</v>
      </c>
      <c r="E7" s="37" t="n">
        <f aca="false">Scenarii!E25</f>
        <v>23.4767104</v>
      </c>
      <c r="F7" s="37" t="n">
        <f aca="false">Scenarii!F25</f>
        <v>18.7363798</v>
      </c>
    </row>
    <row r="8" customFormat="false" ht="15" hidden="false" customHeight="false" outlineLevel="0" collapsed="false">
      <c r="A8" s="17" t="s">
        <v>783</v>
      </c>
      <c r="B8" s="9" t="s">
        <v>784</v>
      </c>
      <c r="C8" s="37" t="n">
        <f aca="false">Scenarii!C28</f>
        <v>10.5071487603306</v>
      </c>
      <c r="D8" s="37" t="n">
        <f aca="false">Scenarii!D28</f>
        <v>9.85714876033058</v>
      </c>
      <c r="E8" s="37" t="n">
        <f aca="false">Scenarii!E28</f>
        <v>8.51314876033058</v>
      </c>
      <c r="F8" s="37" t="n">
        <f aca="false">Scenarii!F28</f>
        <v>7.72814876033058</v>
      </c>
    </row>
    <row r="9" customFormat="false" ht="15" hidden="false" customHeight="false" outlineLevel="0" collapsed="false">
      <c r="A9" s="17" t="s">
        <v>579</v>
      </c>
      <c r="B9" s="9" t="s">
        <v>785</v>
      </c>
      <c r="C9" s="37" t="n">
        <f aca="false">Scenarii!C24</f>
        <v>4.99</v>
      </c>
      <c r="D9" s="37" t="n">
        <f aca="false">Scenarii!D24</f>
        <v>4.34</v>
      </c>
      <c r="E9" s="37" t="n">
        <f aca="false">Scenarii!E24</f>
        <v>2.996</v>
      </c>
      <c r="F9" s="37" t="n">
        <f aca="false">Scenarii!F24</f>
        <v>2.211</v>
      </c>
    </row>
    <row r="10" customFormat="false" ht="15" hidden="false" customHeight="false" outlineLevel="0" collapsed="false">
      <c r="A10" s="17" t="s">
        <v>786</v>
      </c>
      <c r="B10" s="9" t="s">
        <v>787</v>
      </c>
      <c r="C10" s="37" t="n">
        <f aca="false">(Ipoteze!C$55*Ipoteze!$C$138+(Ipoteze!C$56+C9)*Ipoteze!$C$139)*(1+Ipoteze!C$42)*(1+Ipoteze!$C$44)</f>
        <v>110.0547756</v>
      </c>
      <c r="D10" s="37" t="n">
        <f aca="false">(Ipoteze!D$55*Ipoteze!$C$138+(Ipoteze!D$56+D9)*Ipoteze!$C$139)*(1+Ipoteze!D$42)*(1+Ipoteze!$C$44)</f>
        <v>49.03794896</v>
      </c>
      <c r="E10" s="37" t="n">
        <f aca="false">(Ipoteze!E$55*Ipoteze!$C$138+(Ipoteze!E$56+E9)*Ipoteze!$C$139)*(1+Ipoteze!E$42)*(1+Ipoteze!$C$44)</f>
        <v>36.154134016</v>
      </c>
      <c r="F10" s="37" t="n">
        <f aca="false">(Ipoteze!F$55*Ipoteze!$C$138+(Ipoteze!F$56+F9)*Ipoteze!$C$139)*(1+Ipoteze!F$42)*(1+Ipoteze!$C$44)</f>
        <v>28.854024892</v>
      </c>
    </row>
    <row r="11" customFormat="false" ht="15" hidden="false" customHeight="false" outlineLevel="0" collapsed="false">
      <c r="A11" s="17" t="s">
        <v>788</v>
      </c>
      <c r="B11" s="9" t="s">
        <v>789</v>
      </c>
      <c r="C11" s="37" t="n">
        <f aca="false">(Ipoteze!$C$128*Scenarii!C26+Ipoteze!$C$130*Ipoteze!$C$126/Ipoteze!$C$125+Ipoteze!$C$131*Ipoteze!$C$126/60*Ipoteze!$C$101/Ipoteze!$C$7+Ipoteze!$C$132*Ipoteze!$C$139)*(1+Ipoteze!$C$133)+C9*Ipoteze!$C$139+Ipoteze!$C$61</f>
        <v>19.2515424890617</v>
      </c>
      <c r="D11" s="37" t="n">
        <f aca="false">(Ipoteze!$C$128*Scenarii!D26+Ipoteze!$C$130*Ipoteze!$C$126/Ipoteze!$C$125+Ipoteze!$C$131*Ipoteze!$C$126/60*Ipoteze!$C$101/Ipoteze!$C$7+Ipoteze!$C$132*Ipoteze!$C$139)*(1+Ipoteze!$C$133)+D9*Ipoteze!$C$139+Ipoteze!$C$61</f>
        <v>18.2505424890617</v>
      </c>
      <c r="E11" s="37" t="n">
        <f aca="false">(Ipoteze!$C$128*Scenarii!E26+Ipoteze!$C$130*Ipoteze!$C$126/Ipoteze!$C$125+Ipoteze!$C$131*Ipoteze!$C$126/60*Ipoteze!$C$101/Ipoteze!$C$7+Ipoteze!$C$132*Ipoteze!$C$139)*(1+Ipoteze!$C$133)+E9*Ipoteze!$C$139+Ipoteze!$C$61</f>
        <v>16.1807824890617</v>
      </c>
      <c r="F11" s="37" t="n">
        <f aca="false">(Ipoteze!$C$128*Scenarii!F26+Ipoteze!$C$130*Ipoteze!$C$126/Ipoteze!$C$125+Ipoteze!$C$131*Ipoteze!$C$126/60*Ipoteze!$C$101/Ipoteze!$C$7+Ipoteze!$C$132*Ipoteze!$C$139)*(1+Ipoteze!$C$133)+F9*Ipoteze!$C$139+Ipoteze!$C$61</f>
        <v>14.9718824890617</v>
      </c>
    </row>
    <row r="12" customFormat="false" ht="15" hidden="false" customHeight="false" outlineLevel="0" collapsed="false">
      <c r="A12" s="17" t="s">
        <v>790</v>
      </c>
      <c r="B12" s="9" t="s">
        <v>791</v>
      </c>
      <c r="C12" s="37" t="n">
        <f aca="false">Ipoteze!C$54</f>
        <v>12</v>
      </c>
      <c r="D12" s="37" t="n">
        <f aca="false">Ipoteze!D$54</f>
        <v>4</v>
      </c>
      <c r="E12" s="37" t="n">
        <f aca="false">Ipoteze!E$54</f>
        <v>2.5</v>
      </c>
      <c r="F12" s="37" t="n">
        <f aca="false">Ipoteze!F$54</f>
        <v>1.8</v>
      </c>
    </row>
    <row r="13" customFormat="false" ht="15" hidden="false" customHeight="false" outlineLevel="0" collapsed="false">
      <c r="A13" s="17" t="s">
        <v>792</v>
      </c>
      <c r="B13" s="9" t="s">
        <v>793</v>
      </c>
      <c r="C13" s="37" t="n">
        <f aca="false">(Ipoteze!$C$51*Ipoteze!C$53+(Ipoteze!$C$47+Ipoteze!$C$48+Ipoteze!$C$49*Ipoteze!$C$50)*Ipoteze!C$22/C6)*Ipoteze!$C$8*(1+Ipoteze!C$42)*(1+Ipoteze!$C$43)</f>
        <v>1.503548442</v>
      </c>
      <c r="D13" s="37" t="n">
        <f aca="false">(Ipoteze!$C$51*Ipoteze!D$53+(Ipoteze!$C$47+Ipoteze!$C$48+Ipoteze!$C$49*Ipoteze!$C$50)*Ipoteze!D$22/D6)*Ipoteze!$C$8*(1+Ipoteze!D$42)*(1+Ipoteze!$C$43)</f>
        <v>0.94075687728</v>
      </c>
      <c r="E13" s="37" t="n">
        <f aca="false">(Ipoteze!$C$51*Ipoteze!E$53+(Ipoteze!$C$47+Ipoteze!$C$48+Ipoteze!$C$49*Ipoteze!$C$50)*Ipoteze!E$22/E6)*Ipoteze!$C$8*(1+Ipoteze!E$42)*(1+Ipoteze!$C$43)</f>
        <v>0.649763083008</v>
      </c>
      <c r="F13" s="37" t="n">
        <f aca="false">(Ipoteze!$C$51*Ipoteze!F$53+(Ipoteze!$C$47+Ipoteze!$C$48+Ipoteze!$C$49*Ipoteze!$C$50)*Ipoteze!F$22/F6)*Ipoteze!$C$8*(1+Ipoteze!F$42)*(1+Ipoteze!$C$43)</f>
        <v>0.488104200396</v>
      </c>
    </row>
    <row r="14" customFormat="false" ht="15" hidden="false" customHeight="false" outlineLevel="0" collapsed="false">
      <c r="A14" s="17" t="s">
        <v>592</v>
      </c>
      <c r="B14" s="9" t="s">
        <v>794</v>
      </c>
      <c r="C14" s="37" t="n">
        <f aca="false">Ipoteze!$C$151+(Ipoteze!$C$152-Ipoteze!$C$153)*(Ipoteze!C$28+Ipoteze!C$29+Ipoteze!C$30)*Ipoteze!$C$8</f>
        <v>0.37226</v>
      </c>
      <c r="D14" s="37" t="n">
        <f aca="false">Ipoteze!$C$151+(Ipoteze!$C$152-Ipoteze!$C$153)*(Ipoteze!D$28+Ipoteze!D$29+Ipoteze!D$30)*Ipoteze!$C$8</f>
        <v>0.320843</v>
      </c>
      <c r="E14" s="37" t="n">
        <f aca="false">Ipoteze!$C$151+(Ipoteze!$C$152-Ipoteze!$C$153)*(Ipoteze!E$28+Ipoteze!E$29+Ipoteze!E$30)*Ipoteze!$C$8</f>
        <v>0.306488</v>
      </c>
      <c r="F14" s="37" t="n">
        <f aca="false">Ipoteze!$C$151+(Ipoteze!$C$152-Ipoteze!$C$153)*(Ipoteze!F$28+Ipoteze!F$29+Ipoteze!F$30)*Ipoteze!$C$8</f>
        <v>0.295787</v>
      </c>
    </row>
    <row r="16" customFormat="false" ht="15" hidden="false" customHeight="false" outlineLevel="0" collapsed="false">
      <c r="A16" s="20" t="s">
        <v>795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customFormat="false" ht="15" hidden="false" customHeight="false" outlineLevel="0" collapsed="false">
      <c r="A17" s="17" t="s">
        <v>796</v>
      </c>
      <c r="B17" s="9" t="s">
        <v>797</v>
      </c>
      <c r="C17" s="42" t="n">
        <f aca="false">Ipoteze!$C$116*Ipoteze!$C$8*(1+Ipoteze!$C$117)</f>
        <v>74118.78</v>
      </c>
    </row>
    <row r="18" customFormat="false" ht="15" hidden="false" customHeight="false" outlineLevel="0" collapsed="false">
      <c r="A18" s="17" t="s">
        <v>623</v>
      </c>
      <c r="B18" s="9" t="s">
        <v>798</v>
      </c>
      <c r="C18" s="42" t="n">
        <f aca="false">(Ipoteze!$C$119+Ipoteze!$C$120)/Ipoteze!$C$7+Ipoteze!$C$121+Ipoteze!$C$122</f>
        <v>12576.0784313725</v>
      </c>
    </row>
    <row r="19" customFormat="false" ht="15" hidden="false" customHeight="false" outlineLevel="0" collapsed="false">
      <c r="A19" s="17" t="s">
        <v>799</v>
      </c>
      <c r="B19" s="9" t="s">
        <v>800</v>
      </c>
      <c r="C19" s="42" t="n">
        <f aca="false">(Ipoteze!$C$109*12+Ipoteze!$C$110+Ipoteze!$C$111*12)/Ipoteze!$C$7</f>
        <v>189.019607843137</v>
      </c>
    </row>
    <row r="20" customFormat="false" ht="15" hidden="false" customHeight="false" outlineLevel="0" collapsed="false">
      <c r="A20" s="17" t="s">
        <v>801</v>
      </c>
      <c r="B20" s="9" t="s">
        <v>802</v>
      </c>
      <c r="C20" s="42" t="n">
        <f aca="false">Ipoteze!$C$95*(1+Ipoteze!$C$98)*12/Ipoteze!$C$7</f>
        <v>25983.5294117647</v>
      </c>
    </row>
    <row r="21" customFormat="false" ht="15" hidden="false" customHeight="false" outlineLevel="0" collapsed="false">
      <c r="A21" s="17" t="s">
        <v>803</v>
      </c>
      <c r="B21" s="9" t="s">
        <v>804</v>
      </c>
      <c r="C21" s="42" t="n">
        <f aca="false">Ipoteze!$C$96*(1+Ipoteze!$C$98)*12/Ipoteze!$C$7</f>
        <v>14435.2941176471</v>
      </c>
    </row>
    <row r="22" customFormat="false" ht="15" hidden="false" customHeight="false" outlineLevel="0" collapsed="false">
      <c r="A22" s="17" t="s">
        <v>805</v>
      </c>
      <c r="B22" s="9" t="s">
        <v>806</v>
      </c>
      <c r="C22" s="37" t="n">
        <f aca="false">(Ipoteze!$C$99+Ipoteze!$C$100)*12</f>
        <v>80.4</v>
      </c>
    </row>
    <row r="23" customFormat="false" ht="15" hidden="false" customHeight="false" outlineLevel="0" collapsed="false">
      <c r="A23" s="17" t="s">
        <v>807</v>
      </c>
      <c r="B23" s="9" t="s">
        <v>808</v>
      </c>
      <c r="C23" s="27" t="n">
        <f aca="false">Ipoteze!$C$18/Ipoteze!$C$125*Ipoteze!$C$15</f>
        <v>3740</v>
      </c>
    </row>
    <row r="24" customFormat="false" ht="15" hidden="false" customHeight="false" outlineLevel="0" collapsed="false">
      <c r="A24" s="17" t="s">
        <v>809</v>
      </c>
      <c r="B24" s="9" t="s">
        <v>810</v>
      </c>
      <c r="C24" s="27" t="n">
        <f aca="false">Ipoteze!$C$18/Ipoteze!$C$126*Ipoteze!$C$15</f>
        <v>1994.66666666667</v>
      </c>
    </row>
    <row r="25" customFormat="false" ht="15" hidden="false" customHeight="false" outlineLevel="0" collapsed="false">
      <c r="A25" s="17" t="s">
        <v>811</v>
      </c>
      <c r="B25" s="9" t="s">
        <v>812</v>
      </c>
      <c r="C25" s="42" t="n">
        <f aca="false">Ipoteze!$C$142+Ipoteze!$C$143+(Ipoteze!$C$144+Ipoteze!$C$145)*Ipoteze!$C$8+Ipoteze!$C$146+Ipoteze!$C$147+Ipoteze!$C$148</f>
        <v>36470.42</v>
      </c>
    </row>
    <row r="26" customFormat="false" ht="15" hidden="false" customHeight="false" outlineLevel="0" collapsed="false">
      <c r="A26" s="17" t="s">
        <v>627</v>
      </c>
      <c r="B26" s="9" t="s">
        <v>628</v>
      </c>
      <c r="C26" s="27" t="n">
        <f aca="false">Ipoteze!$C$18/(Ipoteze!$C$52/Ipoteze!$C$149*60+Ipoteze!$C$150)*Ipoteze!$C$15</f>
        <v>21892.6829268293</v>
      </c>
    </row>
    <row r="27" customFormat="false" ht="15" hidden="false" customHeight="false" outlineLevel="0" collapsed="false">
      <c r="A27" s="17" t="s">
        <v>813</v>
      </c>
      <c r="B27" s="9" t="s">
        <v>814</v>
      </c>
      <c r="C27" s="42" t="n">
        <f aca="false">Ipoteze!$C$94*(1+Ipoteze!$C$98)*12/Ipoteze!$C$7</f>
        <v>15638.2352941176</v>
      </c>
    </row>
    <row r="28" customFormat="false" ht="15" hidden="false" customHeight="false" outlineLevel="0" collapsed="false">
      <c r="A28" s="17" t="s">
        <v>815</v>
      </c>
      <c r="B28" s="9" t="s">
        <v>816</v>
      </c>
      <c r="C28" s="42" t="n">
        <f aca="false">(1*('Break-even'!$C$17+Ipoteze!$C$118)+'Break-even'!$C$18)/Ipoteze!$C$90+'Break-even'!$C$20+(1-1)*'Break-even'!$C$21+1*'Break-even'!$C$19+(1*Ipoteze!$C$134+Ipoteze!$C$135)*'Break-even'!$C$22+Ipoteze!$C$124*1*'Break-even'!$C$17+Ipoteze!$C$123*Ipoteze!$C$8+Ipoteze!$C$136</f>
        <v>56858.6841058824</v>
      </c>
    </row>
    <row r="29" customFormat="false" ht="15" hidden="false" customHeight="false" outlineLevel="0" collapsed="false">
      <c r="A29" s="17" t="s">
        <v>817</v>
      </c>
      <c r="B29" s="9" t="s">
        <v>818</v>
      </c>
      <c r="C29" s="42" t="n">
        <f aca="false">1*'Break-even'!$C$25/Ipoteze!$C$90+1*('Break-even'!$C$27+'Break-even'!$C$19)+1*Ipoteze!$C$155*'Break-even'!$C$22+Ipoteze!$C$124*1*'Break-even'!$C$25+Ipoteze!$C$154*Ipoteze!$C$16*Ipoteze!$C$15*1*1*Ipoteze!$C$101/Ipoteze!$C$7+Ipoteze!$C$156</f>
        <v>29356.7848352941</v>
      </c>
    </row>
    <row r="31" customFormat="false" ht="15" hidden="false" customHeight="false" outlineLevel="0" collapsed="false">
      <c r="A31" s="20" t="s">
        <v>819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customFormat="false" ht="15" hidden="false" customHeight="false" outlineLevel="0" collapsed="false">
      <c r="A32" s="17" t="s">
        <v>820</v>
      </c>
      <c r="B32" s="11" t="s">
        <v>821</v>
      </c>
      <c r="C32" s="44" t="n">
        <f aca="false">IF(C7-C8&lt;=0,"niciodată",'Break-even'!$C$28/(C7-C8))</f>
        <v>932.767233906387</v>
      </c>
      <c r="D32" s="44" t="n">
        <f aca="false">IF(D7-D8&lt;=0,"niciodată",'Break-even'!$C$28/(D7-D8))</f>
        <v>2586.16956204695</v>
      </c>
      <c r="E32" s="44" t="n">
        <f aca="false">IF(E7-E8&lt;=0,"niciodată",'Break-even'!$C$28/(E7-E8))</f>
        <v>3799.80952897912</v>
      </c>
      <c r="F32" s="44" t="n">
        <f aca="false">IF(F7-F8&lt;=0,"niciodată",'Break-even'!$C$28/(F7-F8))</f>
        <v>5165.10635550667</v>
      </c>
    </row>
    <row r="33" customFormat="false" ht="15" hidden="false" customHeight="false" outlineLevel="0" collapsed="false">
      <c r="A33" s="17" t="s">
        <v>822</v>
      </c>
      <c r="B33" s="9" t="s">
        <v>823</v>
      </c>
      <c r="C33" s="27" t="n">
        <f aca="false">IF(ISNUMBER(C32),IF(C32&lt;='Break-even'!$C$23,1,0),0)</f>
        <v>1</v>
      </c>
      <c r="D33" s="27" t="n">
        <f aca="false">IF(ISNUMBER(D32),IF(D32&lt;='Break-even'!$C$23,1,0),0)</f>
        <v>1</v>
      </c>
      <c r="E33" s="27" t="n">
        <f aca="false">IF(ISNUMBER(E32),IF(E32&lt;='Break-even'!$C$23,1,0),0)</f>
        <v>0</v>
      </c>
      <c r="F33" s="27" t="n">
        <f aca="false">IF(ISNUMBER(F32),IF(F32&lt;='Break-even'!$C$23,1,0),0)</f>
        <v>0</v>
      </c>
    </row>
    <row r="34" customFormat="false" ht="15" hidden="false" customHeight="false" outlineLevel="0" collapsed="false">
      <c r="A34" s="17" t="s">
        <v>824</v>
      </c>
      <c r="B34" s="11" t="s">
        <v>825</v>
      </c>
      <c r="C34" s="44" t="n">
        <f aca="false">IF(C10-C11&lt;=0,"niciodată",'Break-even'!$C$28/(C10-C11))</f>
        <v>626.174665349367</v>
      </c>
      <c r="D34" s="44" t="n">
        <f aca="false">IF(D10-D11&lt;=0,"niciodată",'Break-even'!$C$28/(D10-D11))</f>
        <v>1846.8163000204</v>
      </c>
      <c r="E34" s="44" t="n">
        <f aca="false">IF(E10-E11&lt;=0,"niciodată",'Break-even'!$C$28/(E10-E11))</f>
        <v>2846.72725201859</v>
      </c>
      <c r="F34" s="44" t="n">
        <f aca="false">IF(F10-F11&lt;=0,"niciodată",'Break-even'!$C$28/(F10-F11))</f>
        <v>4095.81478532073</v>
      </c>
    </row>
    <row r="35" customFormat="false" ht="15" hidden="false" customHeight="false" outlineLevel="0" collapsed="false">
      <c r="A35" s="17" t="s">
        <v>826</v>
      </c>
      <c r="B35" s="9" t="s">
        <v>823</v>
      </c>
      <c r="C35" s="27" t="n">
        <f aca="false">IF(ISNUMBER(C34),IF(C34&lt;='Break-even'!$C$24,1,0),0)</f>
        <v>1</v>
      </c>
      <c r="D35" s="27" t="n">
        <f aca="false">IF(ISNUMBER(D34),IF(D34&lt;='Break-even'!$C$24,1,0),0)</f>
        <v>1</v>
      </c>
      <c r="E35" s="27" t="n">
        <f aca="false">IF(ISNUMBER(E34),IF(E34&lt;='Break-even'!$C$24,1,0),0)</f>
        <v>0</v>
      </c>
      <c r="F35" s="27" t="n">
        <f aca="false">IF(ISNUMBER(F34),IF(F34&lt;='Break-even'!$C$24,1,0),0)</f>
        <v>0</v>
      </c>
    </row>
    <row r="36" customFormat="false" ht="15" hidden="false" customHeight="false" outlineLevel="0" collapsed="false">
      <c r="A36" s="17" t="s">
        <v>827</v>
      </c>
      <c r="B36" s="11" t="s">
        <v>828</v>
      </c>
      <c r="C36" s="44" t="n">
        <f aca="false">IF(C12-C14&lt;=0,"niciodată",'Break-even'!$C$29/(C12-C14))</f>
        <v>2524.71975081092</v>
      </c>
      <c r="D36" s="44" t="n">
        <f aca="false">IF(D12-D14&lt;=0,"niciodată",'Break-even'!$C$29/(D12-D14))</f>
        <v>7979.21503086009</v>
      </c>
      <c r="E36" s="44" t="n">
        <f aca="false">IF(E12-E14&lt;=0,"niciodată",'Break-even'!$C$29/(E12-E14))</f>
        <v>13383.462153521</v>
      </c>
      <c r="F36" s="44" t="n">
        <f aca="false">IF(F12-F14&lt;=0,"niciodată",'Break-even'!$C$29/(F12-F14))</f>
        <v>19516.3748985643</v>
      </c>
    </row>
    <row r="37" customFormat="false" ht="15" hidden="false" customHeight="false" outlineLevel="0" collapsed="false">
      <c r="A37" s="17" t="s">
        <v>829</v>
      </c>
      <c r="B37" s="11" t="s">
        <v>830</v>
      </c>
      <c r="C37" s="44" t="n">
        <f aca="false">IF(C13-C14&lt;=0,"niciodată",'Break-even'!$C$29/(C13-C14))</f>
        <v>25949.8672004413</v>
      </c>
      <c r="D37" s="44" t="n">
        <f aca="false">IF(D13-D14&lt;=0,"niciodată",'Break-even'!$C$29/(D13-D14))</f>
        <v>47356.2311011702</v>
      </c>
      <c r="E37" s="44" t="n">
        <f aca="false">IF(E13-E14&lt;=0,"niciodată",'Break-even'!$C$29/(E13-E14))</f>
        <v>85519.7079206881</v>
      </c>
      <c r="F37" s="44" t="n">
        <f aca="false">IF(F13-F14&lt;=0,"niciodată",'Break-even'!$C$29/(F13-F14))</f>
        <v>152647.733925232</v>
      </c>
    </row>
    <row r="39" customFormat="false" ht="15" hidden="false" customHeight="false" outlineLevel="0" collapsed="false">
      <c r="A39" s="20" t="s">
        <v>831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customFormat="false" ht="23.85" hidden="false" customHeight="false" outlineLevel="0" collapsed="false">
      <c r="A40" s="45" t="s">
        <v>832</v>
      </c>
      <c r="B40" s="45" t="s">
        <v>833</v>
      </c>
      <c r="C40" s="45" t="s">
        <v>834</v>
      </c>
      <c r="D40" s="45" t="s">
        <v>835</v>
      </c>
      <c r="E40" s="45" t="s">
        <v>836</v>
      </c>
      <c r="F40" s="45" t="s">
        <v>837</v>
      </c>
      <c r="G40" s="45" t="s">
        <v>838</v>
      </c>
      <c r="H40" s="45" t="s">
        <v>839</v>
      </c>
      <c r="I40" s="45" t="s">
        <v>840</v>
      </c>
      <c r="J40" s="45" t="s">
        <v>841</v>
      </c>
      <c r="K40" s="45" t="s">
        <v>842</v>
      </c>
      <c r="L40" s="45" t="s">
        <v>843</v>
      </c>
      <c r="M40" s="45" t="s">
        <v>844</v>
      </c>
    </row>
    <row r="41" customFormat="false" ht="15" hidden="false" customHeight="false" outlineLevel="0" collapsed="false">
      <c r="A41" s="26" t="n">
        <v>250</v>
      </c>
      <c r="B41" s="27" t="n">
        <f aca="false">MATCH(A41,'Break-even'!$C$6:$F$6,1)</f>
        <v>1</v>
      </c>
      <c r="C41" s="37" t="n">
        <f aca="false">IF(B41&gt;=4,INDEX('Break-even'!$C$7:$F$7,1,4),INDEX('Break-even'!$C$7:$F$7,1,B41)+(INDEX('Break-even'!$C$7:$F$7,1,B41+1)-INDEX('Break-even'!$C$7:$F$7,1,B41))*LN(A41/INDEX('Break-even'!$C$6:$F$6,1,B41))/LN(INDEX('Break-even'!$C$6:$F$6,1,B41+1)/INDEX('Break-even'!$C$6:$F$6,1,B41)))</f>
        <v>55.6972331673625</v>
      </c>
      <c r="D41" s="42" t="n">
        <f aca="false">A41*C41</f>
        <v>13924.3082918406</v>
      </c>
      <c r="E41" s="27" t="n">
        <f aca="false">CEILING(A41/('Break-even'!$C$23*Ipoteze!$C$20),1)</f>
        <v>1</v>
      </c>
      <c r="F41" s="27" t="n">
        <f aca="false">MIN(Ipoteze!$C$20,CEILING(A41/('Break-even'!$C$23*E41),1))</f>
        <v>1</v>
      </c>
      <c r="G41" s="27" t="n">
        <f aca="false">F41*CEILING(E41/Ipoteze!$C$137,1)</f>
        <v>1</v>
      </c>
      <c r="H41" s="42" t="n">
        <f aca="false">(E41*('Break-even'!$C$17+Ipoteze!$C$118)+'Break-even'!$C$18)/Ipoteze!$C$90+'Break-even'!$C$20+(G41-1)*'Break-even'!$C$21+G41*'Break-even'!$C$19+(E41*Ipoteze!$C$134+Ipoteze!$C$135)*'Break-even'!$C$22+Ipoteze!$C$124*E41*'Break-even'!$C$17+Ipoteze!$C$123*Ipoteze!$C$8+Ipoteze!$C$136</f>
        <v>56858.6841058824</v>
      </c>
      <c r="I41" s="37" t="n">
        <f aca="false">IF(B41&gt;=4,INDEX('Break-even'!$C$8:$F$8,1,4),INDEX('Break-even'!$C$8:$F$8,1,B41)+(INDEX('Break-even'!$C$8:$F$8,1,B41+1)-INDEX('Break-even'!$C$8:$F$8,1,B41))*LN(A41/INDEX('Break-even'!$C$6:$F$6,1,B41))/LN(INDEX('Break-even'!$C$6:$F$6,1,B41+1)/INDEX('Break-even'!$C$6:$F$6,1,B41)))</f>
        <v>10.2484877546938</v>
      </c>
      <c r="J41" s="42" t="n">
        <f aca="false">H41+A41*I41</f>
        <v>59420.8060445558</v>
      </c>
      <c r="K41" s="37" t="n">
        <f aca="false">J41/A41</f>
        <v>237.683224178223</v>
      </c>
      <c r="L41" s="42" t="n">
        <f aca="false">D41-J41</f>
        <v>-45496.4977527152</v>
      </c>
      <c r="M41" s="27" t="n">
        <f aca="false">IF(J41&lt;D41,1,0)</f>
        <v>0</v>
      </c>
    </row>
    <row r="42" customFormat="false" ht="15" hidden="false" customHeight="false" outlineLevel="0" collapsed="false">
      <c r="A42" s="26" t="n">
        <v>500</v>
      </c>
      <c r="B42" s="27" t="n">
        <f aca="false">MATCH(A42,'Break-even'!$C$6:$F$6,1)</f>
        <v>1</v>
      </c>
      <c r="C42" s="37" t="n">
        <f aca="false">IF(B42&gt;=4,INDEX('Break-even'!$C$7:$F$7,1,4),INDEX('Break-even'!$C$7:$F$7,1,B42)+(INDEX('Break-even'!$C$7:$F$7,1,B42+1)-INDEX('Break-even'!$C$7:$F$7,1,B42))*LN(A42/INDEX('Break-even'!$C$6:$F$6,1,B42))/LN(INDEX('Break-even'!$C$6:$F$6,1,B42+1)/INDEX('Break-even'!$C$6:$F$6,1,B42)))</f>
        <v>43.7700285836812</v>
      </c>
      <c r="D42" s="42" t="n">
        <f aca="false">A42*C42</f>
        <v>21885.0142918406</v>
      </c>
      <c r="E42" s="27" t="n">
        <f aca="false">CEILING(A42/('Break-even'!$C$23*Ipoteze!$C$20),1)</f>
        <v>1</v>
      </c>
      <c r="F42" s="27" t="n">
        <f aca="false">MIN(Ipoteze!$C$20,CEILING(A42/('Break-even'!$C$23*E42),1))</f>
        <v>1</v>
      </c>
      <c r="G42" s="27" t="n">
        <f aca="false">F42*CEILING(E42/Ipoteze!$C$137,1)</f>
        <v>1</v>
      </c>
      <c r="H42" s="42" t="n">
        <f aca="false">(E42*('Break-even'!$C$17+Ipoteze!$C$118)+'Break-even'!$C$18)/Ipoteze!$C$90+'Break-even'!$C$20+(G42-1)*'Break-even'!$C$21+G42*'Break-even'!$C$19+(E42*Ipoteze!$C$134+Ipoteze!$C$135)*'Break-even'!$C$22+Ipoteze!$C$124*E42*'Break-even'!$C$17+Ipoteze!$C$123*Ipoteze!$C$8+Ipoteze!$C$136</f>
        <v>56858.6841058824</v>
      </c>
      <c r="I42" s="37" t="n">
        <f aca="false">IF(B42&gt;=4,INDEX('Break-even'!$C$8:$F$8,1,4),INDEX('Break-even'!$C$8:$F$8,1,B42)+(INDEX('Break-even'!$C$8:$F$8,1,B42+1)-INDEX('Break-even'!$C$8:$F$8,1,B42))*LN(A42/INDEX('Break-even'!$C$6:$F$6,1,B42))/LN(INDEX('Break-even'!$C$6:$F$6,1,B42+1)/INDEX('Break-even'!$C$6:$F$6,1,B42)))</f>
        <v>10.0528182575122</v>
      </c>
      <c r="J42" s="42" t="n">
        <f aca="false">H42+A42*I42</f>
        <v>61885.0932346384</v>
      </c>
      <c r="K42" s="37" t="n">
        <f aca="false">J42/A42</f>
        <v>123.770186469277</v>
      </c>
      <c r="L42" s="42" t="n">
        <f aca="false">D42-J42</f>
        <v>-40000.0789427978</v>
      </c>
      <c r="M42" s="27" t="n">
        <f aca="false">IF(J42&lt;D42,1,0)</f>
        <v>0</v>
      </c>
    </row>
    <row r="43" customFormat="false" ht="15" hidden="false" customHeight="false" outlineLevel="0" collapsed="false">
      <c r="A43" s="26" t="n">
        <v>1000</v>
      </c>
      <c r="B43" s="27" t="n">
        <f aca="false">MATCH(A43,'Break-even'!$C$6:$F$6,1)</f>
        <v>2</v>
      </c>
      <c r="C43" s="37" t="n">
        <f aca="false">IF(B43&gt;=4,INDEX('Break-even'!$C$7:$F$7,1,4),INDEX('Break-even'!$C$7:$F$7,1,B43)+(INDEX('Break-even'!$C$7:$F$7,1,B43+1)-INDEX('Break-even'!$C$7:$F$7,1,B43))*LN(A43/INDEX('Break-even'!$C$6:$F$6,1,B43))/LN(INDEX('Break-even'!$C$6:$F$6,1,B43+1)/INDEX('Break-even'!$C$6:$F$6,1,B43)))</f>
        <v>31.842824</v>
      </c>
      <c r="D43" s="42" t="n">
        <f aca="false">A43*C43</f>
        <v>31842.824</v>
      </c>
      <c r="E43" s="27" t="n">
        <f aca="false">CEILING(A43/('Break-even'!$C$23*Ipoteze!$C$20),1)</f>
        <v>1</v>
      </c>
      <c r="F43" s="27" t="n">
        <f aca="false">MIN(Ipoteze!$C$20,CEILING(A43/('Break-even'!$C$23*E43),1))</f>
        <v>1</v>
      </c>
      <c r="G43" s="27" t="n">
        <f aca="false">F43*CEILING(E43/Ipoteze!$C$137,1)</f>
        <v>1</v>
      </c>
      <c r="H43" s="42" t="n">
        <f aca="false">(E43*('Break-even'!$C$17+Ipoteze!$C$118)+'Break-even'!$C$18)/Ipoteze!$C$90+'Break-even'!$C$20+(G43-1)*'Break-even'!$C$21+G43*'Break-even'!$C$19+(E43*Ipoteze!$C$134+Ipoteze!$C$135)*'Break-even'!$C$22+Ipoteze!$C$124*E43*'Break-even'!$C$17+Ipoteze!$C$123*Ipoteze!$C$8+Ipoteze!$C$136</f>
        <v>56858.6841058824</v>
      </c>
      <c r="I43" s="37" t="n">
        <f aca="false">IF(B43&gt;=4,INDEX('Break-even'!$C$8:$F$8,1,4),INDEX('Break-even'!$C$8:$F$8,1,B43)+(INDEX('Break-even'!$C$8:$F$8,1,B43+1)-INDEX('Break-even'!$C$8:$F$8,1,B43))*LN(A43/INDEX('Break-even'!$C$6:$F$6,1,B43))/LN(INDEX('Break-even'!$C$6:$F$6,1,B43+1)/INDEX('Break-even'!$C$6:$F$6,1,B43)))</f>
        <v>9.85714876033058</v>
      </c>
      <c r="J43" s="42" t="n">
        <f aca="false">H43+A43*I43</f>
        <v>66715.8328662129</v>
      </c>
      <c r="K43" s="37" t="n">
        <f aca="false">J43/A43</f>
        <v>66.7158328662129</v>
      </c>
      <c r="L43" s="42" t="n">
        <f aca="false">D43-J43</f>
        <v>-34873.0088662129</v>
      </c>
      <c r="M43" s="27" t="n">
        <f aca="false">IF(J43&lt;D43,1,0)</f>
        <v>0</v>
      </c>
    </row>
    <row r="44" customFormat="false" ht="15" hidden="false" customHeight="false" outlineLevel="0" collapsed="false">
      <c r="A44" s="26" t="n">
        <v>1500</v>
      </c>
      <c r="B44" s="27" t="n">
        <f aca="false">MATCH(A44,'Break-even'!$C$6:$F$6,1)</f>
        <v>2</v>
      </c>
      <c r="C44" s="37" t="n">
        <f aca="false">IF(B44&gt;=4,INDEX('Break-even'!$C$7:$F$7,1,4),INDEX('Break-even'!$C$7:$F$7,1,B44)+(INDEX('Break-even'!$C$7:$F$7,1,B44+1)-INDEX('Break-even'!$C$7:$F$7,1,B44))*LN(A44/INDEX('Break-even'!$C$6:$F$6,1,B44))/LN(INDEX('Break-even'!$C$6:$F$6,1,B44+1)/INDEX('Break-even'!$C$6:$F$6,1,B44)))</f>
        <v>29.7351520425656</v>
      </c>
      <c r="D44" s="42" t="n">
        <f aca="false">A44*C44</f>
        <v>44602.7280638483</v>
      </c>
      <c r="E44" s="27" t="n">
        <f aca="false">CEILING(A44/('Break-even'!$C$23*Ipoteze!$C$20),1)</f>
        <v>1</v>
      </c>
      <c r="F44" s="27" t="n">
        <f aca="false">MIN(Ipoteze!$C$20,CEILING(A44/('Break-even'!$C$23*E44),1))</f>
        <v>1</v>
      </c>
      <c r="G44" s="27" t="n">
        <f aca="false">F44*CEILING(E44/Ipoteze!$C$137,1)</f>
        <v>1</v>
      </c>
      <c r="H44" s="42" t="n">
        <f aca="false">(E44*('Break-even'!$C$17+Ipoteze!$C$118)+'Break-even'!$C$18)/Ipoteze!$C$90+'Break-even'!$C$20+(G44-1)*'Break-even'!$C$21+G44*'Break-even'!$C$19+(E44*Ipoteze!$C$134+Ipoteze!$C$135)*'Break-even'!$C$22+Ipoteze!$C$124*E44*'Break-even'!$C$17+Ipoteze!$C$123*Ipoteze!$C$8+Ipoteze!$C$136</f>
        <v>56858.6841058824</v>
      </c>
      <c r="I44" s="37" t="n">
        <f aca="false">IF(B44&gt;=4,INDEX('Break-even'!$C$8:$F$8,1,4),INDEX('Break-even'!$C$8:$F$8,1,B44)+(INDEX('Break-even'!$C$8:$F$8,1,B44+1)-INDEX('Break-even'!$C$8:$F$8,1,B44))*LN(A44/INDEX('Break-even'!$C$6:$F$6,1,B44))/LN(INDEX('Break-even'!$C$6:$F$6,1,B44+1)/INDEX('Break-even'!$C$6:$F$6,1,B44)))</f>
        <v>9.51855532899206</v>
      </c>
      <c r="J44" s="42" t="n">
        <f aca="false">H44+A44*I44</f>
        <v>71136.5170993704</v>
      </c>
      <c r="K44" s="37" t="n">
        <f aca="false">J44/A44</f>
        <v>47.4243447329136</v>
      </c>
      <c r="L44" s="42" t="n">
        <f aca="false">D44-J44</f>
        <v>-26533.7890355221</v>
      </c>
      <c r="M44" s="27" t="n">
        <f aca="false">IF(J44&lt;D44,1,0)</f>
        <v>0</v>
      </c>
    </row>
    <row r="45" customFormat="false" ht="15" hidden="false" customHeight="false" outlineLevel="0" collapsed="false">
      <c r="A45" s="26" t="n">
        <v>2000</v>
      </c>
      <c r="B45" s="27" t="n">
        <f aca="false">MATCH(A45,'Break-even'!$C$6:$F$6,1)</f>
        <v>2</v>
      </c>
      <c r="C45" s="37" t="n">
        <f aca="false">IF(B45&gt;=4,INDEX('Break-even'!$C$7:$F$7,1,4),INDEX('Break-even'!$C$7:$F$7,1,B45)+(INDEX('Break-even'!$C$7:$F$7,1,B45+1)-INDEX('Break-even'!$C$7:$F$7,1,B45))*LN(A45/INDEX('Break-even'!$C$6:$F$6,1,B45))/LN(INDEX('Break-even'!$C$6:$F$6,1,B45+1)/INDEX('Break-even'!$C$6:$F$6,1,B45)))</f>
        <v>28.239734990301</v>
      </c>
      <c r="D45" s="42" t="n">
        <f aca="false">A45*C45</f>
        <v>56479.469980602</v>
      </c>
      <c r="E45" s="27" t="n">
        <f aca="false">CEILING(A45/('Break-even'!$C$23*Ipoteze!$C$20),1)</f>
        <v>1</v>
      </c>
      <c r="F45" s="27" t="n">
        <f aca="false">MIN(Ipoteze!$C$20,CEILING(A45/('Break-even'!$C$23*E45),1))</f>
        <v>1</v>
      </c>
      <c r="G45" s="27" t="n">
        <f aca="false">F45*CEILING(E45/Ipoteze!$C$137,1)</f>
        <v>1</v>
      </c>
      <c r="H45" s="42" t="n">
        <f aca="false">(E45*('Break-even'!$C$17+Ipoteze!$C$118)+'Break-even'!$C$18)/Ipoteze!$C$90+'Break-even'!$C$20+(G45-1)*'Break-even'!$C$21+G45*'Break-even'!$C$19+(E45*Ipoteze!$C$134+Ipoteze!$C$135)*'Break-even'!$C$22+Ipoteze!$C$124*E45*'Break-even'!$C$17+Ipoteze!$C$123*Ipoteze!$C$8+Ipoteze!$C$136</f>
        <v>56858.6841058824</v>
      </c>
      <c r="I45" s="37" t="n">
        <f aca="false">IF(B45&gt;=4,INDEX('Break-even'!$C$8:$F$8,1,4),INDEX('Break-even'!$C$8:$F$8,1,B45)+(INDEX('Break-even'!$C$8:$F$8,1,B45+1)-INDEX('Break-even'!$C$8:$F$8,1,B45))*LN(A45/INDEX('Break-even'!$C$6:$F$6,1,B45))/LN(INDEX('Break-even'!$C$6:$F$6,1,B45+1)/INDEX('Break-even'!$C$6:$F$6,1,B45)))</f>
        <v>9.27831946627994</v>
      </c>
      <c r="J45" s="42" t="n">
        <f aca="false">H45+A45*I45</f>
        <v>75415.3230384422</v>
      </c>
      <c r="K45" s="37" t="n">
        <f aca="false">J45/A45</f>
        <v>37.7076615192211</v>
      </c>
      <c r="L45" s="42" t="n">
        <f aca="false">D45-J45</f>
        <v>-18935.8530578402</v>
      </c>
      <c r="M45" s="27" t="n">
        <f aca="false">IF(J45&lt;D45,1,0)</f>
        <v>0</v>
      </c>
    </row>
    <row r="46" customFormat="false" ht="15" hidden="false" customHeight="false" outlineLevel="0" collapsed="false">
      <c r="A46" s="26" t="n">
        <v>2500</v>
      </c>
      <c r="B46" s="27" t="n">
        <f aca="false">MATCH(A46,'Break-even'!$C$6:$F$6,1)</f>
        <v>2</v>
      </c>
      <c r="C46" s="37" t="n">
        <f aca="false">IF(B46&gt;=4,INDEX('Break-even'!$C$7:$F$7,1,4),INDEX('Break-even'!$C$7:$F$7,1,B46)+(INDEX('Break-even'!$C$7:$F$7,1,B46+1)-INDEX('Break-even'!$C$7:$F$7,1,B46))*LN(A46/INDEX('Break-even'!$C$6:$F$6,1,B46))/LN(INDEX('Break-even'!$C$6:$F$6,1,B46+1)/INDEX('Break-even'!$C$6:$F$6,1,B46)))</f>
        <v>27.079799409699</v>
      </c>
      <c r="D46" s="42" t="n">
        <f aca="false">A46*C46</f>
        <v>67699.4985242475</v>
      </c>
      <c r="E46" s="27" t="n">
        <f aca="false">CEILING(A46/('Break-even'!$C$23*Ipoteze!$C$20),1)</f>
        <v>1</v>
      </c>
      <c r="F46" s="27" t="n">
        <f aca="false">MIN(Ipoteze!$C$20,CEILING(A46/('Break-even'!$C$23*E46),1))</f>
        <v>1</v>
      </c>
      <c r="G46" s="27" t="n">
        <f aca="false">F46*CEILING(E46/Ipoteze!$C$137,1)</f>
        <v>1</v>
      </c>
      <c r="H46" s="42" t="n">
        <f aca="false">(E46*('Break-even'!$C$17+Ipoteze!$C$118)+'Break-even'!$C$18)/Ipoteze!$C$90+'Break-even'!$C$20+(G46-1)*'Break-even'!$C$21+G46*'Break-even'!$C$19+(E46*Ipoteze!$C$134+Ipoteze!$C$135)*'Break-even'!$C$22+Ipoteze!$C$124*E46*'Break-even'!$C$17+Ipoteze!$C$123*Ipoteze!$C$8+Ipoteze!$C$136</f>
        <v>56858.6841058824</v>
      </c>
      <c r="I46" s="37" t="n">
        <f aca="false">IF(B46&gt;=4,INDEX('Break-even'!$C$8:$F$8,1,4),INDEX('Break-even'!$C$8:$F$8,1,B46)+(INDEX('Break-even'!$C$8:$F$8,1,B46+1)-INDEX('Break-even'!$C$8:$F$8,1,B46))*LN(A46/INDEX('Break-even'!$C$6:$F$6,1,B46))/LN(INDEX('Break-even'!$C$6:$F$6,1,B46+1)/INDEX('Break-even'!$C$6:$F$6,1,B46)))</f>
        <v>9.09197805438122</v>
      </c>
      <c r="J46" s="42" t="n">
        <f aca="false">H46+A46*I46</f>
        <v>79588.6292418354</v>
      </c>
      <c r="K46" s="37" t="n">
        <f aca="false">J46/A46</f>
        <v>31.8354516967342</v>
      </c>
      <c r="L46" s="42" t="n">
        <f aca="false">D46-J46</f>
        <v>-11889.1307175879</v>
      </c>
      <c r="M46" s="27" t="n">
        <f aca="false">IF(J46&lt;D46,1,0)</f>
        <v>0</v>
      </c>
    </row>
    <row r="47" customFormat="false" ht="15" hidden="false" customHeight="false" outlineLevel="0" collapsed="false">
      <c r="A47" s="26" t="n">
        <v>3000</v>
      </c>
      <c r="B47" s="27" t="n">
        <f aca="false">MATCH(A47,'Break-even'!$C$6:$F$6,1)</f>
        <v>2</v>
      </c>
      <c r="C47" s="37" t="n">
        <f aca="false">IF(B47&gt;=4,INDEX('Break-even'!$C$7:$F$7,1,4),INDEX('Break-even'!$C$7:$F$7,1,B47)+(INDEX('Break-even'!$C$7:$F$7,1,B47+1)-INDEX('Break-even'!$C$7:$F$7,1,B47))*LN(A47/INDEX('Break-even'!$C$6:$F$6,1,B47))/LN(INDEX('Break-even'!$C$6:$F$6,1,B47+1)/INDEX('Break-even'!$C$6:$F$6,1,B47)))</f>
        <v>26.1320630328666</v>
      </c>
      <c r="D47" s="42" t="n">
        <f aca="false">A47*C47</f>
        <v>78396.1890985997</v>
      </c>
      <c r="E47" s="27" t="n">
        <f aca="false">CEILING(A47/('Break-even'!$C$23*Ipoteze!$C$20),1)</f>
        <v>1</v>
      </c>
      <c r="F47" s="27" t="n">
        <f aca="false">MIN(Ipoteze!$C$20,CEILING(A47/('Break-even'!$C$23*E47),1))</f>
        <v>1</v>
      </c>
      <c r="G47" s="27" t="n">
        <f aca="false">F47*CEILING(E47/Ipoteze!$C$137,1)</f>
        <v>1</v>
      </c>
      <c r="H47" s="42" t="n">
        <f aca="false">(E47*('Break-even'!$C$17+Ipoteze!$C$118)+'Break-even'!$C$18)/Ipoteze!$C$90+'Break-even'!$C$20+(G47-1)*'Break-even'!$C$21+G47*'Break-even'!$C$19+(E47*Ipoteze!$C$134+Ipoteze!$C$135)*'Break-even'!$C$22+Ipoteze!$C$124*E47*'Break-even'!$C$17+Ipoteze!$C$123*Ipoteze!$C$8+Ipoteze!$C$136</f>
        <v>56858.6841058824</v>
      </c>
      <c r="I47" s="37" t="n">
        <f aca="false">IF(B47&gt;=4,INDEX('Break-even'!$C$8:$F$8,1,4),INDEX('Break-even'!$C$8:$F$8,1,B47)+(INDEX('Break-even'!$C$8:$F$8,1,B47+1)-INDEX('Break-even'!$C$8:$F$8,1,B47))*LN(A47/INDEX('Break-even'!$C$6:$F$6,1,B47))/LN(INDEX('Break-even'!$C$6:$F$6,1,B47+1)/INDEX('Break-even'!$C$6:$F$6,1,B47)))</f>
        <v>8.93972603494142</v>
      </c>
      <c r="J47" s="42" t="n">
        <f aca="false">H47+A47*I47</f>
        <v>83677.8622107066</v>
      </c>
      <c r="K47" s="37" t="n">
        <f aca="false">J47/A47</f>
        <v>27.8926207369022</v>
      </c>
      <c r="L47" s="42" t="n">
        <f aca="false">D47-J47</f>
        <v>-5281.67311210693</v>
      </c>
      <c r="M47" s="27" t="n">
        <f aca="false">IF(J47&lt;D47,1,0)</f>
        <v>0</v>
      </c>
    </row>
    <row r="48" customFormat="false" ht="15" hidden="false" customHeight="false" outlineLevel="0" collapsed="false">
      <c r="A48" s="26" t="n">
        <v>4000</v>
      </c>
      <c r="B48" s="27" t="n">
        <f aca="false">MATCH(A48,'Break-even'!$C$6:$F$6,1)</f>
        <v>2</v>
      </c>
      <c r="C48" s="37" t="n">
        <f aca="false">IF(B48&gt;=4,INDEX('Break-even'!$C$7:$F$7,1,4),INDEX('Break-even'!$C$7:$F$7,1,B48)+(INDEX('Break-even'!$C$7:$F$7,1,B48+1)-INDEX('Break-even'!$C$7:$F$7,1,B48))*LN(A48/INDEX('Break-even'!$C$6:$F$6,1,B48))/LN(INDEX('Break-even'!$C$6:$F$6,1,B48+1)/INDEX('Break-even'!$C$6:$F$6,1,B48)))</f>
        <v>24.636645980602</v>
      </c>
      <c r="D48" s="42" t="n">
        <f aca="false">A48*C48</f>
        <v>98546.583922408</v>
      </c>
      <c r="E48" s="27" t="n">
        <f aca="false">CEILING(A48/('Break-even'!$C$23*Ipoteze!$C$20),1)</f>
        <v>1</v>
      </c>
      <c r="F48" s="27" t="n">
        <f aca="false">MIN(Ipoteze!$C$20,CEILING(A48/('Break-even'!$C$23*E48),1))</f>
        <v>2</v>
      </c>
      <c r="G48" s="27" t="n">
        <f aca="false">F48*CEILING(E48/Ipoteze!$C$137,1)</f>
        <v>2</v>
      </c>
      <c r="H48" s="42" t="n">
        <f aca="false">(E48*('Break-even'!$C$17+Ipoteze!$C$118)+'Break-even'!$C$18)/Ipoteze!$C$90+'Break-even'!$C$20+(G48-1)*'Break-even'!$C$21+G48*'Break-even'!$C$19+(E48*Ipoteze!$C$134+Ipoteze!$C$135)*'Break-even'!$C$22+Ipoteze!$C$124*E48*'Break-even'!$C$17+Ipoteze!$C$123*Ipoteze!$C$8+Ipoteze!$C$136</f>
        <v>71482.9978313726</v>
      </c>
      <c r="I48" s="37" t="n">
        <f aca="false">IF(B48&gt;=4,INDEX('Break-even'!$C$8:$F$8,1,4),INDEX('Break-even'!$C$8:$F$8,1,B48)+(INDEX('Break-even'!$C$8:$F$8,1,B48+1)-INDEX('Break-even'!$C$8:$F$8,1,B48))*LN(A48/INDEX('Break-even'!$C$6:$F$6,1,B48))/LN(INDEX('Break-even'!$C$6:$F$6,1,B48+1)/INDEX('Break-even'!$C$6:$F$6,1,B48)))</f>
        <v>8.6994901722293</v>
      </c>
      <c r="J48" s="42" t="n">
        <f aca="false">H48+A48*I48</f>
        <v>106280.95852029</v>
      </c>
      <c r="K48" s="37" t="n">
        <f aca="false">J48/A48</f>
        <v>26.5702396300724</v>
      </c>
      <c r="L48" s="42" t="n">
        <f aca="false">D48-J48</f>
        <v>-7734.37459788179</v>
      </c>
      <c r="M48" s="27" t="n">
        <f aca="false">IF(J48&lt;D48,1,0)</f>
        <v>0</v>
      </c>
    </row>
    <row r="49" customFormat="false" ht="15" hidden="false" customHeight="false" outlineLevel="0" collapsed="false">
      <c r="A49" s="26" t="n">
        <v>5000</v>
      </c>
      <c r="B49" s="27" t="n">
        <f aca="false">MATCH(A49,'Break-even'!$C$6:$F$6,1)</f>
        <v>3</v>
      </c>
      <c r="C49" s="37" t="n">
        <f aca="false">IF(B49&gt;=4,INDEX('Break-even'!$C$7:$F$7,1,4),INDEX('Break-even'!$C$7:$F$7,1,B49)+(INDEX('Break-even'!$C$7:$F$7,1,B49+1)-INDEX('Break-even'!$C$7:$F$7,1,B49))*LN(A49/INDEX('Break-even'!$C$6:$F$6,1,B49))/LN(INDEX('Break-even'!$C$6:$F$6,1,B49+1)/INDEX('Break-even'!$C$6:$F$6,1,B49)))</f>
        <v>23.4767104</v>
      </c>
      <c r="D49" s="42" t="n">
        <f aca="false">A49*C49</f>
        <v>117383.552</v>
      </c>
      <c r="E49" s="27" t="n">
        <f aca="false">CEILING(A49/('Break-even'!$C$23*Ipoteze!$C$20),1)</f>
        <v>1</v>
      </c>
      <c r="F49" s="27" t="n">
        <f aca="false">MIN(Ipoteze!$C$20,CEILING(A49/('Break-even'!$C$23*E49),1))</f>
        <v>2</v>
      </c>
      <c r="G49" s="27" t="n">
        <f aca="false">F49*CEILING(E49/Ipoteze!$C$137,1)</f>
        <v>2</v>
      </c>
      <c r="H49" s="42" t="n">
        <f aca="false">(E49*('Break-even'!$C$17+Ipoteze!$C$118)+'Break-even'!$C$18)/Ipoteze!$C$90+'Break-even'!$C$20+(G49-1)*'Break-even'!$C$21+G49*'Break-even'!$C$19+(E49*Ipoteze!$C$134+Ipoteze!$C$135)*'Break-even'!$C$22+Ipoteze!$C$124*E49*'Break-even'!$C$17+Ipoteze!$C$123*Ipoteze!$C$8+Ipoteze!$C$136</f>
        <v>71482.9978313726</v>
      </c>
      <c r="I49" s="37" t="n">
        <f aca="false">IF(B49&gt;=4,INDEX('Break-even'!$C$8:$F$8,1,4),INDEX('Break-even'!$C$8:$F$8,1,B49)+(INDEX('Break-even'!$C$8:$F$8,1,B49+1)-INDEX('Break-even'!$C$8:$F$8,1,B49))*LN(A49/INDEX('Break-even'!$C$6:$F$6,1,B49))/LN(INDEX('Break-even'!$C$6:$F$6,1,B49+1)/INDEX('Break-even'!$C$6:$F$6,1,B49)))</f>
        <v>8.51314876033058</v>
      </c>
      <c r="J49" s="42" t="n">
        <f aca="false">H49+A49*I49</f>
        <v>114048.741633025</v>
      </c>
      <c r="K49" s="37" t="n">
        <f aca="false">J49/A49</f>
        <v>22.8097483266051</v>
      </c>
      <c r="L49" s="42" t="n">
        <f aca="false">D49-J49</f>
        <v>3334.81036697453</v>
      </c>
      <c r="M49" s="27" t="n">
        <f aca="false">IF(J49&lt;D49,1,0)</f>
        <v>1</v>
      </c>
    </row>
    <row r="50" customFormat="false" ht="15" hidden="false" customHeight="false" outlineLevel="0" collapsed="false">
      <c r="A50" s="26" t="n">
        <v>7500</v>
      </c>
      <c r="B50" s="27" t="n">
        <f aca="false">MATCH(A50,'Break-even'!$C$6:$F$6,1)</f>
        <v>3</v>
      </c>
      <c r="C50" s="37" t="n">
        <f aca="false">IF(B50&gt;=4,INDEX('Break-even'!$C$7:$F$7,1,4),INDEX('Break-even'!$C$7:$F$7,1,B50)+(INDEX('Break-even'!$C$7:$F$7,1,B50+1)-INDEX('Break-even'!$C$7:$F$7,1,B50))*LN(A50/INDEX('Break-even'!$C$6:$F$6,1,B50))/LN(INDEX('Break-even'!$C$6:$F$6,1,B50+1)/INDEX('Break-even'!$C$6:$F$6,1,B50)))</f>
        <v>22.0902525789895</v>
      </c>
      <c r="D50" s="42" t="n">
        <f aca="false">A50*C50</f>
        <v>165676.894342421</v>
      </c>
      <c r="E50" s="27" t="n">
        <f aca="false">CEILING(A50/('Break-even'!$C$23*Ipoteze!$C$20),1)</f>
        <v>2</v>
      </c>
      <c r="F50" s="27" t="n">
        <f aca="false">MIN(Ipoteze!$C$20,CEILING(A50/('Break-even'!$C$23*E50),1))</f>
        <v>2</v>
      </c>
      <c r="G50" s="27" t="n">
        <f aca="false">F50*CEILING(E50/Ipoteze!$C$137,1)</f>
        <v>2</v>
      </c>
      <c r="H50" s="42" t="n">
        <f aca="false">(E50*('Break-even'!$C$17+Ipoteze!$C$118)+'Break-even'!$C$18)/Ipoteze!$C$90+'Break-even'!$C$20+(G50-1)*'Break-even'!$C$21+G50*'Break-even'!$C$19+(E50*Ipoteze!$C$134+Ipoteze!$C$135)*'Break-even'!$C$22+Ipoteze!$C$124*E50*'Break-even'!$C$17+Ipoteze!$C$123*Ipoteze!$C$8+Ipoteze!$C$136</f>
        <v>96050.3172313726</v>
      </c>
      <c r="I50" s="37" t="n">
        <f aca="false">IF(B50&gt;=4,INDEX('Break-even'!$C$8:$F$8,1,4),INDEX('Break-even'!$C$8:$F$8,1,B50)+(INDEX('Break-even'!$C$8:$F$8,1,B50+1)-INDEX('Break-even'!$C$8:$F$8,1,B50))*LN(A50/INDEX('Break-even'!$C$6:$F$6,1,B50))/LN(INDEX('Break-even'!$C$6:$F$6,1,B50+1)/INDEX('Break-even'!$C$6:$F$6,1,B50)))</f>
        <v>8.28355097879753</v>
      </c>
      <c r="J50" s="42" t="n">
        <f aca="false">H50+A50*I50</f>
        <v>158176.949572354</v>
      </c>
      <c r="K50" s="37" t="n">
        <f aca="false">J50/A50</f>
        <v>21.0902599429805</v>
      </c>
      <c r="L50" s="42" t="n">
        <f aca="false">D50-J50</f>
        <v>7499.94477006714</v>
      </c>
      <c r="M50" s="27" t="n">
        <f aca="false">IF(J50&lt;D50,1,0)</f>
        <v>1</v>
      </c>
    </row>
    <row r="51" customFormat="false" ht="15" hidden="false" customHeight="false" outlineLevel="0" collapsed="false">
      <c r="A51" s="26" t="n">
        <v>10000</v>
      </c>
      <c r="B51" s="27" t="n">
        <f aca="false">MATCH(A51,'Break-even'!$C$6:$F$6,1)</f>
        <v>3</v>
      </c>
      <c r="C51" s="37" t="n">
        <f aca="false">IF(B51&gt;=4,INDEX('Break-even'!$C$7:$F$7,1,4),INDEX('Break-even'!$C$7:$F$7,1,B51)+(INDEX('Break-even'!$C$7:$F$7,1,B51+1)-INDEX('Break-even'!$C$7:$F$7,1,B51))*LN(A51/INDEX('Break-even'!$C$6:$F$6,1,B51))/LN(INDEX('Break-even'!$C$6:$F$6,1,B51+1)/INDEX('Break-even'!$C$6:$F$6,1,B51)))</f>
        <v>21.1065451</v>
      </c>
      <c r="D51" s="42" t="n">
        <f aca="false">A51*C51</f>
        <v>211065.451</v>
      </c>
      <c r="E51" s="27" t="n">
        <f aca="false">CEILING(A51/('Break-even'!$C$23*Ipoteze!$C$20),1)</f>
        <v>2</v>
      </c>
      <c r="F51" s="27" t="n">
        <f aca="false">MIN(Ipoteze!$C$20,CEILING(A51/('Break-even'!$C$23*E51),1))</f>
        <v>2</v>
      </c>
      <c r="G51" s="27" t="n">
        <f aca="false">F51*CEILING(E51/Ipoteze!$C$137,1)</f>
        <v>2</v>
      </c>
      <c r="H51" s="42" t="n">
        <f aca="false">(E51*('Break-even'!$C$17+Ipoteze!$C$118)+'Break-even'!$C$18)/Ipoteze!$C$90+'Break-even'!$C$20+(G51-1)*'Break-even'!$C$21+G51*'Break-even'!$C$19+(E51*Ipoteze!$C$134+Ipoteze!$C$135)*'Break-even'!$C$22+Ipoteze!$C$124*E51*'Break-even'!$C$17+Ipoteze!$C$123*Ipoteze!$C$8+Ipoteze!$C$136</f>
        <v>96050.3172313726</v>
      </c>
      <c r="I51" s="37" t="n">
        <f aca="false">IF(B51&gt;=4,INDEX('Break-even'!$C$8:$F$8,1,4),INDEX('Break-even'!$C$8:$F$8,1,B51)+(INDEX('Break-even'!$C$8:$F$8,1,B51+1)-INDEX('Break-even'!$C$8:$F$8,1,B51))*LN(A51/INDEX('Break-even'!$C$6:$F$6,1,B51))/LN(INDEX('Break-even'!$C$6:$F$6,1,B51+1)/INDEX('Break-even'!$C$6:$F$6,1,B51)))</f>
        <v>8.12064876033058</v>
      </c>
      <c r="J51" s="42" t="n">
        <f aca="false">H51+A51*I51</f>
        <v>177256.804834678</v>
      </c>
      <c r="K51" s="37" t="n">
        <f aca="false">J51/A51</f>
        <v>17.7256804834678</v>
      </c>
      <c r="L51" s="42" t="n">
        <f aca="false">D51-J51</f>
        <v>33808.6461653216</v>
      </c>
      <c r="M51" s="27" t="n">
        <f aca="false">IF(J51&lt;D51,1,0)</f>
        <v>1</v>
      </c>
    </row>
    <row r="52" customFormat="false" ht="15" hidden="false" customHeight="false" outlineLevel="0" collapsed="false">
      <c r="A52" s="26" t="n">
        <v>15000</v>
      </c>
      <c r="B52" s="27" t="n">
        <f aca="false">MATCH(A52,'Break-even'!$C$6:$F$6,1)</f>
        <v>3</v>
      </c>
      <c r="C52" s="37" t="n">
        <f aca="false">IF(B52&gt;=4,INDEX('Break-even'!$C$7:$F$7,1,4),INDEX('Break-even'!$C$7:$F$7,1,B52)+(INDEX('Break-even'!$C$7:$F$7,1,B52+1)-INDEX('Break-even'!$C$7:$F$7,1,B52))*LN(A52/INDEX('Break-even'!$C$6:$F$6,1,B52))/LN(INDEX('Break-even'!$C$6:$F$6,1,B52+1)/INDEX('Break-even'!$C$6:$F$6,1,B52)))</f>
        <v>19.7200872789895</v>
      </c>
      <c r="D52" s="42" t="n">
        <f aca="false">A52*C52</f>
        <v>295801.309184842</v>
      </c>
      <c r="E52" s="27" t="n">
        <f aca="false">CEILING(A52/('Break-even'!$C$23*Ipoteze!$C$20),1)</f>
        <v>3</v>
      </c>
      <c r="F52" s="27" t="n">
        <f aca="false">MIN(Ipoteze!$C$20,CEILING(A52/('Break-even'!$C$23*E52),1))</f>
        <v>2</v>
      </c>
      <c r="G52" s="27" t="n">
        <f aca="false">F52*CEILING(E52/Ipoteze!$C$137,1)</f>
        <v>4</v>
      </c>
      <c r="H52" s="42" t="n">
        <f aca="false">(E52*('Break-even'!$C$17+Ipoteze!$C$118)+'Break-even'!$C$18)/Ipoteze!$C$90+'Break-even'!$C$20+(G52-1)*'Break-even'!$C$21+G52*'Break-even'!$C$19+(E52*Ipoteze!$C$134+Ipoteze!$C$135)*'Break-even'!$C$22+Ipoteze!$C$124*E52*'Break-even'!$C$17+Ipoteze!$C$123*Ipoteze!$C$8+Ipoteze!$C$136</f>
        <v>149866.264082353</v>
      </c>
      <c r="I52" s="37" t="n">
        <f aca="false">IF(B52&gt;=4,INDEX('Break-even'!$C$8:$F$8,1,4),INDEX('Break-even'!$C$8:$F$8,1,B52)+(INDEX('Break-even'!$C$8:$F$8,1,B52+1)-INDEX('Break-even'!$C$8:$F$8,1,B52))*LN(A52/INDEX('Break-even'!$C$6:$F$6,1,B52))/LN(INDEX('Break-even'!$C$6:$F$6,1,B52+1)/INDEX('Break-even'!$C$6:$F$6,1,B52)))</f>
        <v>7.89105097879753</v>
      </c>
      <c r="J52" s="42" t="n">
        <f aca="false">H52+A52*I52</f>
        <v>268232.028764316</v>
      </c>
      <c r="K52" s="37" t="n">
        <f aca="false">J52/A52</f>
        <v>17.8821352509544</v>
      </c>
      <c r="L52" s="42" t="n">
        <f aca="false">D52-J52</f>
        <v>27569.2804205265</v>
      </c>
      <c r="M52" s="27" t="n">
        <f aca="false">IF(J52&lt;D52,1,0)</f>
        <v>1</v>
      </c>
    </row>
    <row r="53" customFormat="false" ht="15" hidden="false" customHeight="false" outlineLevel="0" collapsed="false">
      <c r="A53" s="26" t="n">
        <v>20000</v>
      </c>
      <c r="B53" s="27" t="n">
        <f aca="false">MATCH(A53,'Break-even'!$C$6:$F$6,1)</f>
        <v>4</v>
      </c>
      <c r="C53" s="37" t="n">
        <f aca="false">IF(B53&gt;=4,INDEX('Break-even'!$C$7:$F$7,1,4),INDEX('Break-even'!$C$7:$F$7,1,B53)+(INDEX('Break-even'!$C$7:$F$7,1,B53+1)-INDEX('Break-even'!$C$7:$F$7,1,B53))*LN(A53/INDEX('Break-even'!$C$6:$F$6,1,B53))/LN(INDEX('Break-even'!$C$6:$F$6,1,B53+1)/INDEX('Break-even'!$C$6:$F$6,1,B53)))</f>
        <v>18.7363798</v>
      </c>
      <c r="D53" s="42" t="n">
        <f aca="false">A53*C53</f>
        <v>374727.596</v>
      </c>
      <c r="E53" s="27" t="n">
        <f aca="false">CEILING(A53/('Break-even'!$C$23*Ipoteze!$C$20),1)</f>
        <v>3</v>
      </c>
      <c r="F53" s="27" t="n">
        <f aca="false">MIN(Ipoteze!$C$20,CEILING(A53/('Break-even'!$C$23*E53),1))</f>
        <v>2</v>
      </c>
      <c r="G53" s="27" t="n">
        <f aca="false">F53*CEILING(E53/Ipoteze!$C$137,1)</f>
        <v>4</v>
      </c>
      <c r="H53" s="42" t="n">
        <f aca="false">(E53*('Break-even'!$C$17+Ipoteze!$C$118)+'Break-even'!$C$18)/Ipoteze!$C$90+'Break-even'!$C$20+(G53-1)*'Break-even'!$C$21+G53*'Break-even'!$C$19+(E53*Ipoteze!$C$134+Ipoteze!$C$135)*'Break-even'!$C$22+Ipoteze!$C$124*E53*'Break-even'!$C$17+Ipoteze!$C$123*Ipoteze!$C$8+Ipoteze!$C$136</f>
        <v>149866.264082353</v>
      </c>
      <c r="I53" s="37" t="n">
        <f aca="false">IF(B53&gt;=4,INDEX('Break-even'!$C$8:$F$8,1,4),INDEX('Break-even'!$C$8:$F$8,1,B53)+(INDEX('Break-even'!$C$8:$F$8,1,B53+1)-INDEX('Break-even'!$C$8:$F$8,1,B53))*LN(A53/INDEX('Break-even'!$C$6:$F$6,1,B53))/LN(INDEX('Break-even'!$C$6:$F$6,1,B53+1)/INDEX('Break-even'!$C$6:$F$6,1,B53)))</f>
        <v>7.72814876033058</v>
      </c>
      <c r="J53" s="42" t="n">
        <f aca="false">H53+A53*I53</f>
        <v>304429.239288965</v>
      </c>
      <c r="K53" s="37" t="n">
        <f aca="false">J53/A53</f>
        <v>15.2214619644482</v>
      </c>
      <c r="L53" s="42" t="n">
        <f aca="false">D53-J53</f>
        <v>70298.3567110355</v>
      </c>
      <c r="M53" s="27" t="n">
        <f aca="false">IF(J53&lt;D53,1,0)</f>
        <v>1</v>
      </c>
    </row>
    <row r="54" customFormat="false" ht="15" hidden="false" customHeight="false" outlineLevel="0" collapsed="false">
      <c r="B54" s="11" t="s">
        <v>845</v>
      </c>
      <c r="C54" s="46" t="n">
        <f aca="false">IFERROR(INDEX(A41:A53,MATCH(1,M41:M53,0)),"peste 20.000")</f>
        <v>5000</v>
      </c>
    </row>
    <row r="55" customFormat="false" ht="15" hidden="false" customHeight="false" outlineLevel="0" collapsed="false">
      <c r="B55" s="0" t="s">
        <v>846</v>
      </c>
      <c r="C55" s="0" t="n">
        <f aca="false">SUM(M41:M53)</f>
        <v>5</v>
      </c>
    </row>
    <row r="57" customFormat="false" ht="15" hidden="false" customHeight="false" outlineLevel="0" collapsed="false">
      <c r="A57" s="20" t="s">
        <v>847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customFormat="false" ht="23.85" hidden="false" customHeight="false" outlineLevel="0" collapsed="false">
      <c r="A58" s="45" t="s">
        <v>832</v>
      </c>
      <c r="B58" s="45" t="s">
        <v>833</v>
      </c>
      <c r="C58" s="45" t="s">
        <v>834</v>
      </c>
      <c r="D58" s="45" t="s">
        <v>835</v>
      </c>
      <c r="E58" s="45" t="s">
        <v>836</v>
      </c>
      <c r="F58" s="45" t="s">
        <v>837</v>
      </c>
      <c r="G58" s="45" t="s">
        <v>838</v>
      </c>
      <c r="H58" s="45" t="s">
        <v>839</v>
      </c>
      <c r="I58" s="45" t="s">
        <v>840</v>
      </c>
      <c r="J58" s="45" t="s">
        <v>841</v>
      </c>
      <c r="K58" s="45" t="s">
        <v>842</v>
      </c>
      <c r="L58" s="45" t="s">
        <v>843</v>
      </c>
      <c r="M58" s="45" t="s">
        <v>844</v>
      </c>
    </row>
    <row r="59" customFormat="false" ht="15" hidden="false" customHeight="false" outlineLevel="0" collapsed="false">
      <c r="A59" s="26" t="n">
        <v>250</v>
      </c>
      <c r="B59" s="27" t="n">
        <f aca="false">MATCH(A59,'Break-even'!$C$6:$F$6,1)</f>
        <v>1</v>
      </c>
      <c r="C59" s="37" t="n">
        <f aca="false">IF(B59&gt;=4,INDEX('Break-even'!$C$10:$F$10,1,4),INDEX('Break-even'!$C$10:$F$10,1,B59)+(INDEX('Break-even'!$C$10:$F$10,1,B59+1)-INDEX('Break-even'!$C$10:$F$10,1,B59))*LN(A59/INDEX('Break-even'!$C$6:$F$6,1,B59))/LN(INDEX('Break-even'!$C$6:$F$6,1,B59+1)/INDEX('Break-even'!$C$6:$F$6,1,B59)))</f>
        <v>85.7737390777382</v>
      </c>
      <c r="D59" s="42" t="n">
        <f aca="false">A59*C59</f>
        <v>21443.4347694346</v>
      </c>
      <c r="E59" s="27" t="n">
        <f aca="false">CEILING(A59/('Break-even'!$C$24*Ipoteze!$C$20),1)</f>
        <v>1</v>
      </c>
      <c r="F59" s="27" t="n">
        <f aca="false">MIN(Ipoteze!$C$20,CEILING(A59/('Break-even'!$C$24*E59),1))</f>
        <v>1</v>
      </c>
      <c r="G59" s="27" t="n">
        <f aca="false">F59*CEILING(E59/Ipoteze!$C$137,1)</f>
        <v>1</v>
      </c>
      <c r="H59" s="42" t="n">
        <f aca="false">(E59*('Break-even'!$C$17+Ipoteze!$C$118)+'Break-even'!$C$18)/Ipoteze!$C$90+'Break-even'!$C$20+(G59-1)*'Break-even'!$C$21+G59*'Break-even'!$C$19+(E59*Ipoteze!$C$134+Ipoteze!$C$135)*'Break-even'!$C$22+Ipoteze!$C$124*E59*'Break-even'!$C$17+Ipoteze!$C$123*Ipoteze!$C$8+Ipoteze!$C$136</f>
        <v>56858.6841058824</v>
      </c>
      <c r="I59" s="37" t="n">
        <f aca="false">IF(B59&gt;=4,INDEX('Break-even'!$C$11:$F$11,1,4),INDEX('Break-even'!$C$11:$F$11,1,B59)+(INDEX('Break-even'!$C$11:$F$11,1,B59+1)-INDEX('Break-even'!$C$11:$F$11,1,B59))*LN(A59/INDEX('Break-even'!$C$6:$F$6,1,B59))/LN(INDEX('Break-even'!$C$6:$F$6,1,B59+1)/INDEX('Break-even'!$C$6:$F$6,1,B59)))</f>
        <v>18.853204540381</v>
      </c>
      <c r="J59" s="42" t="n">
        <f aca="false">H59+A59*I59</f>
        <v>61571.9852409776</v>
      </c>
      <c r="K59" s="37" t="n">
        <f aca="false">J59/A59</f>
        <v>246.28794096391</v>
      </c>
      <c r="L59" s="42" t="n">
        <f aca="false">D59-J59</f>
        <v>-40128.5504715431</v>
      </c>
      <c r="M59" s="27" t="n">
        <f aca="false">IF(J59&lt;D59,1,0)</f>
        <v>0</v>
      </c>
    </row>
    <row r="60" customFormat="false" ht="15" hidden="false" customHeight="false" outlineLevel="0" collapsed="false">
      <c r="A60" s="26" t="n">
        <v>500</v>
      </c>
      <c r="B60" s="27" t="n">
        <f aca="false">MATCH(A60,'Break-even'!$C$6:$F$6,1)</f>
        <v>1</v>
      </c>
      <c r="C60" s="37" t="n">
        <f aca="false">IF(B60&gt;=4,INDEX('Break-even'!$C$10:$F$10,1,4),INDEX('Break-even'!$C$10:$F$10,1,B60)+(INDEX('Break-even'!$C$10:$F$10,1,B60+1)-INDEX('Break-even'!$C$10:$F$10,1,B60))*LN(A60/INDEX('Break-even'!$C$6:$F$6,1,B60))/LN(INDEX('Break-even'!$C$6:$F$6,1,B60+1)/INDEX('Break-even'!$C$6:$F$6,1,B60)))</f>
        <v>67.4058440188691</v>
      </c>
      <c r="D60" s="42" t="n">
        <f aca="false">A60*C60</f>
        <v>33702.9220094346</v>
      </c>
      <c r="E60" s="27" t="n">
        <f aca="false">CEILING(A60/('Break-even'!$C$24*Ipoteze!$C$20),1)</f>
        <v>1</v>
      </c>
      <c r="F60" s="27" t="n">
        <f aca="false">MIN(Ipoteze!$C$20,CEILING(A60/('Break-even'!$C$24*E60),1))</f>
        <v>1</v>
      </c>
      <c r="G60" s="27" t="n">
        <f aca="false">F60*CEILING(E60/Ipoteze!$C$137,1)</f>
        <v>1</v>
      </c>
      <c r="H60" s="42" t="n">
        <f aca="false">(E60*('Break-even'!$C$17+Ipoteze!$C$118)+'Break-even'!$C$18)/Ipoteze!$C$90+'Break-even'!$C$20+(G60-1)*'Break-even'!$C$21+G60*'Break-even'!$C$19+(E60*Ipoteze!$C$134+Ipoteze!$C$135)*'Break-even'!$C$22+Ipoteze!$C$124*E60*'Break-even'!$C$17+Ipoteze!$C$123*Ipoteze!$C$8+Ipoteze!$C$136</f>
        <v>56858.6841058824</v>
      </c>
      <c r="I60" s="37" t="n">
        <f aca="false">IF(B60&gt;=4,INDEX('Break-even'!$C$11:$F$11,1,4),INDEX('Break-even'!$C$11:$F$11,1,B60)+(INDEX('Break-even'!$C$11:$F$11,1,B60+1)-INDEX('Break-even'!$C$11:$F$11,1,B60))*LN(A60/INDEX('Break-even'!$C$6:$F$6,1,B60))/LN(INDEX('Break-even'!$C$6:$F$6,1,B60+1)/INDEX('Break-even'!$C$6:$F$6,1,B60)))</f>
        <v>18.5518735147214</v>
      </c>
      <c r="J60" s="42" t="n">
        <f aca="false">H60+A60*I60</f>
        <v>66134.620863243</v>
      </c>
      <c r="K60" s="37" t="n">
        <f aca="false">J60/A60</f>
        <v>132.269241726486</v>
      </c>
      <c r="L60" s="42" t="n">
        <f aca="false">D60-J60</f>
        <v>-32431.6988538085</v>
      </c>
      <c r="M60" s="27" t="n">
        <f aca="false">IF(J60&lt;D60,1,0)</f>
        <v>0</v>
      </c>
    </row>
    <row r="61" customFormat="false" ht="15" hidden="false" customHeight="false" outlineLevel="0" collapsed="false">
      <c r="A61" s="26" t="n">
        <v>1000</v>
      </c>
      <c r="B61" s="27" t="n">
        <f aca="false">MATCH(A61,'Break-even'!$C$6:$F$6,1)</f>
        <v>2</v>
      </c>
      <c r="C61" s="37" t="n">
        <f aca="false">IF(B61&gt;=4,INDEX('Break-even'!$C$10:$F$10,1,4),INDEX('Break-even'!$C$10:$F$10,1,B61)+(INDEX('Break-even'!$C$10:$F$10,1,B61+1)-INDEX('Break-even'!$C$10:$F$10,1,B61))*LN(A61/INDEX('Break-even'!$C$6:$F$6,1,B61))/LN(INDEX('Break-even'!$C$6:$F$6,1,B61+1)/INDEX('Break-even'!$C$6:$F$6,1,B61)))</f>
        <v>49.03794896</v>
      </c>
      <c r="D61" s="42" t="n">
        <f aca="false">A61*C61</f>
        <v>49037.94896</v>
      </c>
      <c r="E61" s="27" t="n">
        <f aca="false">CEILING(A61/('Break-even'!$C$24*Ipoteze!$C$20),1)</f>
        <v>1</v>
      </c>
      <c r="F61" s="27" t="n">
        <f aca="false">MIN(Ipoteze!$C$20,CEILING(A61/('Break-even'!$C$24*E61),1))</f>
        <v>1</v>
      </c>
      <c r="G61" s="27" t="n">
        <f aca="false">F61*CEILING(E61/Ipoteze!$C$137,1)</f>
        <v>1</v>
      </c>
      <c r="H61" s="42" t="n">
        <f aca="false">(E61*('Break-even'!$C$17+Ipoteze!$C$118)+'Break-even'!$C$18)/Ipoteze!$C$90+'Break-even'!$C$20+(G61-1)*'Break-even'!$C$21+G61*'Break-even'!$C$19+(E61*Ipoteze!$C$134+Ipoteze!$C$135)*'Break-even'!$C$22+Ipoteze!$C$124*E61*'Break-even'!$C$17+Ipoteze!$C$123*Ipoteze!$C$8+Ipoteze!$C$136</f>
        <v>56858.6841058824</v>
      </c>
      <c r="I61" s="37" t="n">
        <f aca="false">IF(B61&gt;=4,INDEX('Break-even'!$C$11:$F$11,1,4),INDEX('Break-even'!$C$11:$F$11,1,B61)+(INDEX('Break-even'!$C$11:$F$11,1,B61+1)-INDEX('Break-even'!$C$11:$F$11,1,B61))*LN(A61/INDEX('Break-even'!$C$6:$F$6,1,B61))/LN(INDEX('Break-even'!$C$6:$F$6,1,B61+1)/INDEX('Break-even'!$C$6:$F$6,1,B61)))</f>
        <v>18.2505424890617</v>
      </c>
      <c r="J61" s="42" t="n">
        <f aca="false">H61+A61*I61</f>
        <v>75109.2265949441</v>
      </c>
      <c r="K61" s="37" t="n">
        <f aca="false">J61/A61</f>
        <v>75.1092265949441</v>
      </c>
      <c r="L61" s="42" t="n">
        <f aca="false">D61-J61</f>
        <v>-26071.2776349441</v>
      </c>
      <c r="M61" s="27" t="n">
        <f aca="false">IF(J61&lt;D61,1,0)</f>
        <v>0</v>
      </c>
    </row>
    <row r="62" customFormat="false" ht="15" hidden="false" customHeight="false" outlineLevel="0" collapsed="false">
      <c r="A62" s="26" t="n">
        <v>1500</v>
      </c>
      <c r="B62" s="27" t="n">
        <f aca="false">MATCH(A62,'Break-even'!$C$6:$F$6,1)</f>
        <v>2</v>
      </c>
      <c r="C62" s="37" t="n">
        <f aca="false">IF(B62&gt;=4,INDEX('Break-even'!$C$10:$F$10,1,4),INDEX('Break-even'!$C$10:$F$10,1,B62)+(INDEX('Break-even'!$C$10:$F$10,1,B62+1)-INDEX('Break-even'!$C$10:$F$10,1,B62))*LN(A62/INDEX('Break-even'!$C$6:$F$6,1,B62))/LN(INDEX('Break-even'!$C$6:$F$6,1,B62+1)/INDEX('Break-even'!$C$6:$F$6,1,B62)))</f>
        <v>45.792134145551</v>
      </c>
      <c r="D62" s="42" t="n">
        <f aca="false">A62*C62</f>
        <v>68688.2012183265</v>
      </c>
      <c r="E62" s="27" t="n">
        <f aca="false">CEILING(A62/('Break-even'!$C$24*Ipoteze!$C$20),1)</f>
        <v>1</v>
      </c>
      <c r="F62" s="27" t="n">
        <f aca="false">MIN(Ipoteze!$C$20,CEILING(A62/('Break-even'!$C$24*E62),1))</f>
        <v>1</v>
      </c>
      <c r="G62" s="27" t="n">
        <f aca="false">F62*CEILING(E62/Ipoteze!$C$137,1)</f>
        <v>1</v>
      </c>
      <c r="H62" s="42" t="n">
        <f aca="false">(E62*('Break-even'!$C$17+Ipoteze!$C$118)+'Break-even'!$C$18)/Ipoteze!$C$90+'Break-even'!$C$20+(G62-1)*'Break-even'!$C$21+G62*'Break-even'!$C$19+(E62*Ipoteze!$C$134+Ipoteze!$C$135)*'Break-even'!$C$22+Ipoteze!$C$124*E62*'Break-even'!$C$17+Ipoteze!$C$123*Ipoteze!$C$8+Ipoteze!$C$136</f>
        <v>56858.6841058824</v>
      </c>
      <c r="I62" s="37" t="n">
        <f aca="false">IF(B62&gt;=4,INDEX('Break-even'!$C$11:$F$11,1,4),INDEX('Break-even'!$C$11:$F$11,1,B62)+(INDEX('Break-even'!$C$11:$F$11,1,B62+1)-INDEX('Break-even'!$C$11:$F$11,1,B62))*LN(A62/INDEX('Break-even'!$C$6:$F$6,1,B62))/LN(INDEX('Break-even'!$C$6:$F$6,1,B62+1)/INDEX('Break-even'!$C$6:$F$6,1,B62)))</f>
        <v>17.7291086048004</v>
      </c>
      <c r="J62" s="42" t="n">
        <f aca="false">H62+A62*I62</f>
        <v>83452.347013083</v>
      </c>
      <c r="K62" s="37" t="n">
        <f aca="false">J62/A62</f>
        <v>55.634898008722</v>
      </c>
      <c r="L62" s="42" t="n">
        <f aca="false">D62-J62</f>
        <v>-14764.1457947565</v>
      </c>
      <c r="M62" s="27" t="n">
        <f aca="false">IF(J62&lt;D62,1,0)</f>
        <v>0</v>
      </c>
    </row>
    <row r="63" customFormat="false" ht="15" hidden="false" customHeight="false" outlineLevel="0" collapsed="false">
      <c r="A63" s="26" t="n">
        <v>2000</v>
      </c>
      <c r="B63" s="27" t="n">
        <f aca="false">MATCH(A63,'Break-even'!$C$6:$F$6,1)</f>
        <v>2</v>
      </c>
      <c r="C63" s="37" t="n">
        <f aca="false">IF(B63&gt;=4,INDEX('Break-even'!$C$10:$F$10,1,4),INDEX('Break-even'!$C$10:$F$10,1,B63)+(INDEX('Break-even'!$C$10:$F$10,1,B63+1)-INDEX('Break-even'!$C$10:$F$10,1,B63))*LN(A63/INDEX('Break-even'!$C$6:$F$6,1,B63))/LN(INDEX('Break-even'!$C$6:$F$6,1,B63+1)/INDEX('Break-even'!$C$6:$F$6,1,B63)))</f>
        <v>43.4891918850635</v>
      </c>
      <c r="D63" s="42" t="n">
        <f aca="false">A63*C63</f>
        <v>86978.3837701271</v>
      </c>
      <c r="E63" s="27" t="n">
        <f aca="false">CEILING(A63/('Break-even'!$C$24*Ipoteze!$C$20),1)</f>
        <v>1</v>
      </c>
      <c r="F63" s="27" t="n">
        <f aca="false">MIN(Ipoteze!$C$20,CEILING(A63/('Break-even'!$C$24*E63),1))</f>
        <v>2</v>
      </c>
      <c r="G63" s="27" t="n">
        <f aca="false">F63*CEILING(E63/Ipoteze!$C$137,1)</f>
        <v>2</v>
      </c>
      <c r="H63" s="42" t="n">
        <f aca="false">(E63*('Break-even'!$C$17+Ipoteze!$C$118)+'Break-even'!$C$18)/Ipoteze!$C$90+'Break-even'!$C$20+(G63-1)*'Break-even'!$C$21+G63*'Break-even'!$C$19+(E63*Ipoteze!$C$134+Ipoteze!$C$135)*'Break-even'!$C$22+Ipoteze!$C$124*E63*'Break-even'!$C$17+Ipoteze!$C$123*Ipoteze!$C$8+Ipoteze!$C$136</f>
        <v>71482.9978313726</v>
      </c>
      <c r="I63" s="37" t="n">
        <f aca="false">IF(B63&gt;=4,INDEX('Break-even'!$C$11:$F$11,1,4),INDEX('Break-even'!$C$11:$F$11,1,B63)+(INDEX('Break-even'!$C$11:$F$11,1,B63+1)-INDEX('Break-even'!$C$11:$F$11,1,B63))*LN(A63/INDEX('Break-even'!$C$6:$F$6,1,B63))/LN(INDEX('Break-even'!$C$6:$F$6,1,B63+1)/INDEX('Break-even'!$C$6:$F$6,1,B63)))</f>
        <v>17.3591453762238</v>
      </c>
      <c r="J63" s="42" t="n">
        <f aca="false">H63+A63*I63</f>
        <v>106201.28858382</v>
      </c>
      <c r="K63" s="37" t="n">
        <f aca="false">J63/A63</f>
        <v>53.10064429191</v>
      </c>
      <c r="L63" s="42" t="n">
        <f aca="false">D63-J63</f>
        <v>-19222.904813693</v>
      </c>
      <c r="M63" s="27" t="n">
        <f aca="false">IF(J63&lt;D63,1,0)</f>
        <v>0</v>
      </c>
    </row>
    <row r="64" customFormat="false" ht="15" hidden="false" customHeight="false" outlineLevel="0" collapsed="false">
      <c r="A64" s="26" t="n">
        <v>2500</v>
      </c>
      <c r="B64" s="27" t="n">
        <f aca="false">MATCH(A64,'Break-even'!$C$6:$F$6,1)</f>
        <v>2</v>
      </c>
      <c r="C64" s="37" t="n">
        <f aca="false">IF(B64&gt;=4,INDEX('Break-even'!$C$10:$F$10,1,4),INDEX('Break-even'!$C$10:$F$10,1,B64)+(INDEX('Break-even'!$C$10:$F$10,1,B64+1)-INDEX('Break-even'!$C$10:$F$10,1,B64))*LN(A64/INDEX('Break-even'!$C$6:$F$6,1,B64))/LN(INDEX('Break-even'!$C$6:$F$6,1,B64+1)/INDEX('Break-even'!$C$6:$F$6,1,B64)))</f>
        <v>41.7028910909365</v>
      </c>
      <c r="D64" s="42" t="n">
        <f aca="false">A64*C64</f>
        <v>104257.227727341</v>
      </c>
      <c r="E64" s="27" t="n">
        <f aca="false">CEILING(A64/('Break-even'!$C$24*Ipoteze!$C$20),1)</f>
        <v>1</v>
      </c>
      <c r="F64" s="27" t="n">
        <f aca="false">MIN(Ipoteze!$C$20,CEILING(A64/('Break-even'!$C$24*E64),1))</f>
        <v>2</v>
      </c>
      <c r="G64" s="27" t="n">
        <f aca="false">F64*CEILING(E64/Ipoteze!$C$137,1)</f>
        <v>2</v>
      </c>
      <c r="H64" s="42" t="n">
        <f aca="false">(E64*('Break-even'!$C$17+Ipoteze!$C$118)+'Break-even'!$C$18)/Ipoteze!$C$90+'Break-even'!$C$20+(G64-1)*'Break-even'!$C$21+G64*'Break-even'!$C$19+(E64*Ipoteze!$C$134+Ipoteze!$C$135)*'Break-even'!$C$22+Ipoteze!$C$124*E64*'Break-even'!$C$17+Ipoteze!$C$123*Ipoteze!$C$8+Ipoteze!$C$136</f>
        <v>71482.9978313726</v>
      </c>
      <c r="I64" s="37" t="n">
        <f aca="false">IF(B64&gt;=4,INDEX('Break-even'!$C$11:$F$11,1,4),INDEX('Break-even'!$C$11:$F$11,1,B64)+(INDEX('Break-even'!$C$11:$F$11,1,B64+1)-INDEX('Break-even'!$C$11:$F$11,1,B64))*LN(A64/INDEX('Break-even'!$C$6:$F$6,1,B64))/LN(INDEX('Break-even'!$C$6:$F$6,1,B64+1)/INDEX('Break-even'!$C$6:$F$6,1,B64)))</f>
        <v>17.0721796018997</v>
      </c>
      <c r="J64" s="42" t="n">
        <f aca="false">H64+A64*I64</f>
        <v>114163.446836122</v>
      </c>
      <c r="K64" s="37" t="n">
        <f aca="false">J64/A64</f>
        <v>45.6653787344488</v>
      </c>
      <c r="L64" s="42" t="n">
        <f aca="false">D64-J64</f>
        <v>-9906.2191087807</v>
      </c>
      <c r="M64" s="27" t="n">
        <f aca="false">IF(J64&lt;D64,1,0)</f>
        <v>0</v>
      </c>
    </row>
    <row r="65" customFormat="false" ht="15" hidden="false" customHeight="false" outlineLevel="0" collapsed="false">
      <c r="A65" s="26" t="n">
        <v>3000</v>
      </c>
      <c r="B65" s="27" t="n">
        <f aca="false">MATCH(A65,'Break-even'!$C$6:$F$6,1)</f>
        <v>2</v>
      </c>
      <c r="C65" s="37" t="n">
        <f aca="false">IF(B65&gt;=4,INDEX('Break-even'!$C$10:$F$10,1,4),INDEX('Break-even'!$C$10:$F$10,1,B65)+(INDEX('Break-even'!$C$10:$F$10,1,B65+1)-INDEX('Break-even'!$C$10:$F$10,1,B65))*LN(A65/INDEX('Break-even'!$C$6:$F$6,1,B65))/LN(INDEX('Break-even'!$C$6:$F$6,1,B65+1)/INDEX('Break-even'!$C$6:$F$6,1,B65)))</f>
        <v>40.2433770706145</v>
      </c>
      <c r="D65" s="42" t="n">
        <f aca="false">A65*C65</f>
        <v>120730.131211843</v>
      </c>
      <c r="E65" s="27" t="n">
        <f aca="false">CEILING(A65/('Break-even'!$C$24*Ipoteze!$C$20),1)</f>
        <v>1</v>
      </c>
      <c r="F65" s="27" t="n">
        <f aca="false">MIN(Ipoteze!$C$20,CEILING(A65/('Break-even'!$C$24*E65),1))</f>
        <v>2</v>
      </c>
      <c r="G65" s="27" t="n">
        <f aca="false">F65*CEILING(E65/Ipoteze!$C$137,1)</f>
        <v>2</v>
      </c>
      <c r="H65" s="42" t="n">
        <f aca="false">(E65*('Break-even'!$C$17+Ipoteze!$C$118)+'Break-even'!$C$18)/Ipoteze!$C$90+'Break-even'!$C$20+(G65-1)*'Break-even'!$C$21+G65*'Break-even'!$C$19+(E65*Ipoteze!$C$134+Ipoteze!$C$135)*'Break-even'!$C$22+Ipoteze!$C$124*E65*'Break-even'!$C$17+Ipoteze!$C$123*Ipoteze!$C$8+Ipoteze!$C$136</f>
        <v>71482.9978313726</v>
      </c>
      <c r="I65" s="37" t="n">
        <f aca="false">IF(B65&gt;=4,INDEX('Break-even'!$C$11:$F$11,1,4),INDEX('Break-even'!$C$11:$F$11,1,B65)+(INDEX('Break-even'!$C$11:$F$11,1,B65+1)-INDEX('Break-even'!$C$11:$F$11,1,B65))*LN(A65/INDEX('Break-even'!$C$6:$F$6,1,B65))/LN(INDEX('Break-even'!$C$6:$F$6,1,B65+1)/INDEX('Break-even'!$C$6:$F$6,1,B65)))</f>
        <v>16.8377114919624</v>
      </c>
      <c r="J65" s="42" t="n">
        <f aca="false">H65+A65*I65</f>
        <v>121996.13230726</v>
      </c>
      <c r="K65" s="37" t="n">
        <f aca="false">J65/A65</f>
        <v>40.6653774357533</v>
      </c>
      <c r="L65" s="42" t="n">
        <f aca="false">D65-J65</f>
        <v>-1266.00109541639</v>
      </c>
      <c r="M65" s="27" t="n">
        <f aca="false">IF(J65&lt;D65,1,0)</f>
        <v>0</v>
      </c>
    </row>
    <row r="66" customFormat="false" ht="15" hidden="false" customHeight="false" outlineLevel="0" collapsed="false">
      <c r="A66" s="26" t="n">
        <v>4000</v>
      </c>
      <c r="B66" s="27" t="n">
        <f aca="false">MATCH(A66,'Break-even'!$C$6:$F$6,1)</f>
        <v>2</v>
      </c>
      <c r="C66" s="37" t="n">
        <f aca="false">IF(B66&gt;=4,INDEX('Break-even'!$C$10:$F$10,1,4),INDEX('Break-even'!$C$10:$F$10,1,B66)+(INDEX('Break-even'!$C$10:$F$10,1,B66+1)-INDEX('Break-even'!$C$10:$F$10,1,B66))*LN(A66/INDEX('Break-even'!$C$6:$F$6,1,B66))/LN(INDEX('Break-even'!$C$6:$F$6,1,B66+1)/INDEX('Break-even'!$C$6:$F$6,1,B66)))</f>
        <v>37.9404348101271</v>
      </c>
      <c r="D66" s="42" t="n">
        <f aca="false">A66*C66</f>
        <v>151761.739240508</v>
      </c>
      <c r="E66" s="27" t="n">
        <f aca="false">CEILING(A66/('Break-even'!$C$24*Ipoteze!$C$20),1)</f>
        <v>2</v>
      </c>
      <c r="F66" s="27" t="n">
        <f aca="false">MIN(Ipoteze!$C$20,CEILING(A66/('Break-even'!$C$24*E66),1))</f>
        <v>2</v>
      </c>
      <c r="G66" s="27" t="n">
        <f aca="false">F66*CEILING(E66/Ipoteze!$C$137,1)</f>
        <v>2</v>
      </c>
      <c r="H66" s="42" t="n">
        <f aca="false">(E66*('Break-even'!$C$17+Ipoteze!$C$118)+'Break-even'!$C$18)/Ipoteze!$C$90+'Break-even'!$C$20+(G66-1)*'Break-even'!$C$21+G66*'Break-even'!$C$19+(E66*Ipoteze!$C$134+Ipoteze!$C$135)*'Break-even'!$C$22+Ipoteze!$C$124*E66*'Break-even'!$C$17+Ipoteze!$C$123*Ipoteze!$C$8+Ipoteze!$C$136</f>
        <v>96050.3172313726</v>
      </c>
      <c r="I66" s="37" t="n">
        <f aca="false">IF(B66&gt;=4,INDEX('Break-even'!$C$11:$F$11,1,4),INDEX('Break-even'!$C$11:$F$11,1,B66)+(INDEX('Break-even'!$C$11:$F$11,1,B66+1)-INDEX('Break-even'!$C$11:$F$11,1,B66))*LN(A66/INDEX('Break-even'!$C$6:$F$6,1,B66))/LN(INDEX('Break-even'!$C$6:$F$6,1,B66+1)/INDEX('Break-even'!$C$6:$F$6,1,B66)))</f>
        <v>16.4677482633858</v>
      </c>
      <c r="J66" s="42" t="n">
        <f aca="false">H66+A66*I66</f>
        <v>161921.310284916</v>
      </c>
      <c r="K66" s="37" t="n">
        <f aca="false">J66/A66</f>
        <v>40.4803275712289</v>
      </c>
      <c r="L66" s="42" t="n">
        <f aca="false">D66-J66</f>
        <v>-10159.5710444073</v>
      </c>
      <c r="M66" s="27" t="n">
        <f aca="false">IF(J66&lt;D66,1,0)</f>
        <v>0</v>
      </c>
    </row>
    <row r="67" customFormat="false" ht="15" hidden="false" customHeight="false" outlineLevel="0" collapsed="false">
      <c r="A67" s="26" t="n">
        <v>5000</v>
      </c>
      <c r="B67" s="27" t="n">
        <f aca="false">MATCH(A67,'Break-even'!$C$6:$F$6,1)</f>
        <v>3</v>
      </c>
      <c r="C67" s="37" t="n">
        <f aca="false">IF(B67&gt;=4,INDEX('Break-even'!$C$10:$F$10,1,4),INDEX('Break-even'!$C$10:$F$10,1,B67)+(INDEX('Break-even'!$C$10:$F$10,1,B67+1)-INDEX('Break-even'!$C$10:$F$10,1,B67))*LN(A67/INDEX('Break-even'!$C$6:$F$6,1,B67))/LN(INDEX('Break-even'!$C$6:$F$6,1,B67+1)/INDEX('Break-even'!$C$6:$F$6,1,B67)))</f>
        <v>36.154134016</v>
      </c>
      <c r="D67" s="42" t="n">
        <f aca="false">A67*C67</f>
        <v>180770.67008</v>
      </c>
      <c r="E67" s="27" t="n">
        <f aca="false">CEILING(A67/('Break-even'!$C$24*Ipoteze!$C$20),1)</f>
        <v>2</v>
      </c>
      <c r="F67" s="27" t="n">
        <f aca="false">MIN(Ipoteze!$C$20,CEILING(A67/('Break-even'!$C$24*E67),1))</f>
        <v>2</v>
      </c>
      <c r="G67" s="27" t="n">
        <f aca="false">F67*CEILING(E67/Ipoteze!$C$137,1)</f>
        <v>2</v>
      </c>
      <c r="H67" s="42" t="n">
        <f aca="false">(E67*('Break-even'!$C$17+Ipoteze!$C$118)+'Break-even'!$C$18)/Ipoteze!$C$90+'Break-even'!$C$20+(G67-1)*'Break-even'!$C$21+G67*'Break-even'!$C$19+(E67*Ipoteze!$C$134+Ipoteze!$C$135)*'Break-even'!$C$22+Ipoteze!$C$124*E67*'Break-even'!$C$17+Ipoteze!$C$123*Ipoteze!$C$8+Ipoteze!$C$136</f>
        <v>96050.3172313726</v>
      </c>
      <c r="I67" s="37" t="n">
        <f aca="false">IF(B67&gt;=4,INDEX('Break-even'!$C$11:$F$11,1,4),INDEX('Break-even'!$C$11:$F$11,1,B67)+(INDEX('Break-even'!$C$11:$F$11,1,B67+1)-INDEX('Break-even'!$C$11:$F$11,1,B67))*LN(A67/INDEX('Break-even'!$C$6:$F$6,1,B67))/LN(INDEX('Break-even'!$C$6:$F$6,1,B67+1)/INDEX('Break-even'!$C$6:$F$6,1,B67)))</f>
        <v>16.1807824890617</v>
      </c>
      <c r="J67" s="42" t="n">
        <f aca="false">H67+A67*I67</f>
        <v>176954.229676681</v>
      </c>
      <c r="K67" s="37" t="n">
        <f aca="false">J67/A67</f>
        <v>35.3908459353363</v>
      </c>
      <c r="L67" s="42" t="n">
        <f aca="false">D67-J67</f>
        <v>3816.44040331873</v>
      </c>
      <c r="M67" s="27" t="n">
        <f aca="false">IF(J67&lt;D67,1,0)</f>
        <v>1</v>
      </c>
    </row>
    <row r="68" customFormat="false" ht="15" hidden="false" customHeight="false" outlineLevel="0" collapsed="false">
      <c r="A68" s="26" t="n">
        <v>7500</v>
      </c>
      <c r="B68" s="27" t="n">
        <f aca="false">MATCH(A68,'Break-even'!$C$6:$F$6,1)</f>
        <v>3</v>
      </c>
      <c r="C68" s="37" t="n">
        <f aca="false">IF(B68&gt;=4,INDEX('Break-even'!$C$10:$F$10,1,4),INDEX('Break-even'!$C$10:$F$10,1,B68)+(INDEX('Break-even'!$C$10:$F$10,1,B68+1)-INDEX('Break-even'!$C$10:$F$10,1,B68))*LN(A68/INDEX('Break-even'!$C$6:$F$6,1,B68))/LN(INDEX('Break-even'!$C$6:$F$6,1,B68+1)/INDEX('Break-even'!$C$6:$F$6,1,B68)))</f>
        <v>34.0189889716438</v>
      </c>
      <c r="D68" s="42" t="n">
        <f aca="false">A68*C68</f>
        <v>255142.417287329</v>
      </c>
      <c r="E68" s="27" t="n">
        <f aca="false">CEILING(A68/('Break-even'!$C$24*Ipoteze!$C$20),1)</f>
        <v>2</v>
      </c>
      <c r="F68" s="27" t="n">
        <f aca="false">MIN(Ipoteze!$C$20,CEILING(A68/('Break-even'!$C$24*E68),1))</f>
        <v>2</v>
      </c>
      <c r="G68" s="27" t="n">
        <f aca="false">F68*CEILING(E68/Ipoteze!$C$137,1)</f>
        <v>2</v>
      </c>
      <c r="H68" s="42" t="n">
        <f aca="false">(E68*('Break-even'!$C$17+Ipoteze!$C$118)+'Break-even'!$C$18)/Ipoteze!$C$90+'Break-even'!$C$20+(G68-1)*'Break-even'!$C$21+G68*'Break-even'!$C$19+(E68*Ipoteze!$C$134+Ipoteze!$C$135)*'Break-even'!$C$22+Ipoteze!$C$124*E68*'Break-even'!$C$17+Ipoteze!$C$123*Ipoteze!$C$8+Ipoteze!$C$136</f>
        <v>96050.3172313726</v>
      </c>
      <c r="I68" s="37" t="n">
        <f aca="false">IF(B68&gt;=4,INDEX('Break-even'!$C$11:$F$11,1,4),INDEX('Break-even'!$C$11:$F$11,1,B68)+(INDEX('Break-even'!$C$11:$F$11,1,B68+1)-INDEX('Break-even'!$C$11:$F$11,1,B68))*LN(A68/INDEX('Break-even'!$C$6:$F$6,1,B68))/LN(INDEX('Break-even'!$C$6:$F$6,1,B68+1)/INDEX('Break-even'!$C$6:$F$6,1,B68)))</f>
        <v>15.8272019055008</v>
      </c>
      <c r="J68" s="42" t="n">
        <f aca="false">H68+A68*I68</f>
        <v>214754.331522629</v>
      </c>
      <c r="K68" s="37" t="n">
        <f aca="false">J68/A68</f>
        <v>28.6339108696838</v>
      </c>
      <c r="L68" s="42" t="n">
        <f aca="false">D68-J68</f>
        <v>40388.0857646998</v>
      </c>
      <c r="M68" s="27" t="n">
        <f aca="false">IF(J68&lt;D68,1,0)</f>
        <v>1</v>
      </c>
    </row>
    <row r="69" customFormat="false" ht="15" hidden="false" customHeight="false" outlineLevel="0" collapsed="false">
      <c r="A69" s="26" t="n">
        <v>10000</v>
      </c>
      <c r="B69" s="27" t="n">
        <f aca="false">MATCH(A69,'Break-even'!$C$6:$F$6,1)</f>
        <v>3</v>
      </c>
      <c r="C69" s="37" t="n">
        <f aca="false">IF(B69&gt;=4,INDEX('Break-even'!$C$10:$F$10,1,4),INDEX('Break-even'!$C$10:$F$10,1,B69)+(INDEX('Break-even'!$C$10:$F$10,1,B69+1)-INDEX('Break-even'!$C$10:$F$10,1,B69))*LN(A69/INDEX('Break-even'!$C$6:$F$6,1,B69))/LN(INDEX('Break-even'!$C$6:$F$6,1,B69+1)/INDEX('Break-even'!$C$6:$F$6,1,B69)))</f>
        <v>32.504079454</v>
      </c>
      <c r="D69" s="42" t="n">
        <f aca="false">A69*C69</f>
        <v>325040.79454</v>
      </c>
      <c r="E69" s="27" t="n">
        <f aca="false">CEILING(A69/('Break-even'!$C$24*Ipoteze!$C$20),1)</f>
        <v>3</v>
      </c>
      <c r="F69" s="27" t="n">
        <f aca="false">MIN(Ipoteze!$C$20,CEILING(A69/('Break-even'!$C$24*E69),1))</f>
        <v>2</v>
      </c>
      <c r="G69" s="27" t="n">
        <f aca="false">F69*CEILING(E69/Ipoteze!$C$137,1)</f>
        <v>4</v>
      </c>
      <c r="H69" s="42" t="n">
        <f aca="false">(E69*('Break-even'!$C$17+Ipoteze!$C$118)+'Break-even'!$C$18)/Ipoteze!$C$90+'Break-even'!$C$20+(G69-1)*'Break-even'!$C$21+G69*'Break-even'!$C$19+(E69*Ipoteze!$C$134+Ipoteze!$C$135)*'Break-even'!$C$22+Ipoteze!$C$124*E69*'Break-even'!$C$17+Ipoteze!$C$123*Ipoteze!$C$8+Ipoteze!$C$136</f>
        <v>149866.264082353</v>
      </c>
      <c r="I69" s="37" t="n">
        <f aca="false">IF(B69&gt;=4,INDEX('Break-even'!$C$11:$F$11,1,4),INDEX('Break-even'!$C$11:$F$11,1,B69)+(INDEX('Break-even'!$C$11:$F$11,1,B69+1)-INDEX('Break-even'!$C$11:$F$11,1,B69))*LN(A69/INDEX('Break-even'!$C$6:$F$6,1,B69))/LN(INDEX('Break-even'!$C$6:$F$6,1,B69+1)/INDEX('Break-even'!$C$6:$F$6,1,B69)))</f>
        <v>15.5763324890617</v>
      </c>
      <c r="J69" s="42" t="n">
        <f aca="false">H69+A69*I69</f>
        <v>305629.58897297</v>
      </c>
      <c r="K69" s="37" t="n">
        <f aca="false">J69/A69</f>
        <v>30.562958897297</v>
      </c>
      <c r="L69" s="42" t="n">
        <f aca="false">D69-J69</f>
        <v>19411.2055670296</v>
      </c>
      <c r="M69" s="27" t="n">
        <f aca="false">IF(J69&lt;D69,1,0)</f>
        <v>1</v>
      </c>
    </row>
    <row r="70" customFormat="false" ht="15" hidden="false" customHeight="false" outlineLevel="0" collapsed="false">
      <c r="A70" s="26" t="n">
        <v>15000</v>
      </c>
      <c r="B70" s="27" t="n">
        <f aca="false">MATCH(A70,'Break-even'!$C$6:$F$6,1)</f>
        <v>3</v>
      </c>
      <c r="C70" s="37" t="n">
        <f aca="false">IF(B70&gt;=4,INDEX('Break-even'!$C$10:$F$10,1,4),INDEX('Break-even'!$C$10:$F$10,1,B70)+(INDEX('Break-even'!$C$10:$F$10,1,B70+1)-INDEX('Break-even'!$C$10:$F$10,1,B70))*LN(A70/INDEX('Break-even'!$C$6:$F$6,1,B70))/LN(INDEX('Break-even'!$C$6:$F$6,1,B70+1)/INDEX('Break-even'!$C$6:$F$6,1,B70)))</f>
        <v>30.3689344096438</v>
      </c>
      <c r="D70" s="42" t="n">
        <f aca="false">A70*C70</f>
        <v>455534.016144657</v>
      </c>
      <c r="E70" s="27" t="n">
        <f aca="false">CEILING(A70/('Break-even'!$C$24*Ipoteze!$C$20),1)</f>
        <v>4</v>
      </c>
      <c r="F70" s="27" t="n">
        <f aca="false">MIN(Ipoteze!$C$20,CEILING(A70/('Break-even'!$C$24*E70),1))</f>
        <v>2</v>
      </c>
      <c r="G70" s="27" t="n">
        <f aca="false">F70*CEILING(E70/Ipoteze!$C$137,1)</f>
        <v>4</v>
      </c>
      <c r="H70" s="42" t="n">
        <f aca="false">(E70*('Break-even'!$C$17+Ipoteze!$C$118)+'Break-even'!$C$18)/Ipoteze!$C$90+'Break-even'!$C$20+(G70-1)*'Break-even'!$C$21+G70*'Break-even'!$C$19+(E70*Ipoteze!$C$134+Ipoteze!$C$135)*'Break-even'!$C$22+Ipoteze!$C$124*E70*'Break-even'!$C$17+Ipoteze!$C$123*Ipoteze!$C$8+Ipoteze!$C$136</f>
        <v>174433.583482353</v>
      </c>
      <c r="I70" s="37" t="n">
        <f aca="false">IF(B70&gt;=4,INDEX('Break-even'!$C$11:$F$11,1,4),INDEX('Break-even'!$C$11:$F$11,1,B70)+(INDEX('Break-even'!$C$11:$F$11,1,B70+1)-INDEX('Break-even'!$C$11:$F$11,1,B70))*LN(A70/INDEX('Break-even'!$C$6:$F$6,1,B70))/LN(INDEX('Break-even'!$C$6:$F$6,1,B70+1)/INDEX('Break-even'!$C$6:$F$6,1,B70)))</f>
        <v>15.2227519055008</v>
      </c>
      <c r="J70" s="42" t="n">
        <f aca="false">H70+A70*I70</f>
        <v>402774.862064866</v>
      </c>
      <c r="K70" s="37" t="n">
        <f aca="false">J70/A70</f>
        <v>26.851657470991</v>
      </c>
      <c r="L70" s="42" t="n">
        <f aca="false">D70-J70</f>
        <v>52759.1540797917</v>
      </c>
      <c r="M70" s="27" t="n">
        <f aca="false">IF(J70&lt;D70,1,0)</f>
        <v>1</v>
      </c>
    </row>
    <row r="71" customFormat="false" ht="15" hidden="false" customHeight="false" outlineLevel="0" collapsed="false">
      <c r="A71" s="26" t="n">
        <v>20000</v>
      </c>
      <c r="B71" s="27" t="n">
        <f aca="false">MATCH(A71,'Break-even'!$C$6:$F$6,1)</f>
        <v>4</v>
      </c>
      <c r="C71" s="37" t="n">
        <f aca="false">IF(B71&gt;=4,INDEX('Break-even'!$C$10:$F$10,1,4),INDEX('Break-even'!$C$10:$F$10,1,B71)+(INDEX('Break-even'!$C$10:$F$10,1,B71+1)-INDEX('Break-even'!$C$10:$F$10,1,B71))*LN(A71/INDEX('Break-even'!$C$6:$F$6,1,B71))/LN(INDEX('Break-even'!$C$6:$F$6,1,B71+1)/INDEX('Break-even'!$C$6:$F$6,1,B71)))</f>
        <v>28.854024892</v>
      </c>
      <c r="D71" s="42" t="n">
        <f aca="false">A71*C71</f>
        <v>577080.49784</v>
      </c>
      <c r="E71" s="27" t="n">
        <f aca="false">CEILING(A71/('Break-even'!$C$24*Ipoteze!$C$20),1)</f>
        <v>6</v>
      </c>
      <c r="F71" s="27" t="n">
        <f aca="false">MIN(Ipoteze!$C$20,CEILING(A71/('Break-even'!$C$24*E71),1))</f>
        <v>2</v>
      </c>
      <c r="G71" s="27" t="n">
        <f aca="false">F71*CEILING(E71/Ipoteze!$C$137,1)</f>
        <v>6</v>
      </c>
      <c r="H71" s="42" t="n">
        <f aca="false">(E71*('Break-even'!$C$17+Ipoteze!$C$118)+'Break-even'!$C$18)/Ipoteze!$C$90+'Break-even'!$C$20+(G71-1)*'Break-even'!$C$21+G71*'Break-even'!$C$19+(E71*Ipoteze!$C$134+Ipoteze!$C$135)*'Break-even'!$C$22+Ipoteze!$C$124*E71*'Break-even'!$C$17+Ipoteze!$C$123*Ipoteze!$C$8+Ipoteze!$C$136</f>
        <v>252816.849733333</v>
      </c>
      <c r="I71" s="37" t="n">
        <f aca="false">IF(B71&gt;=4,INDEX('Break-even'!$C$11:$F$11,1,4),INDEX('Break-even'!$C$11:$F$11,1,B71)+(INDEX('Break-even'!$C$11:$F$11,1,B71+1)-INDEX('Break-even'!$C$11:$F$11,1,B71))*LN(A71/INDEX('Break-even'!$C$6:$F$6,1,B71))/LN(INDEX('Break-even'!$C$6:$F$6,1,B71+1)/INDEX('Break-even'!$C$6:$F$6,1,B71)))</f>
        <v>14.9718824890617</v>
      </c>
      <c r="J71" s="42" t="n">
        <f aca="false">H71+A71*I71</f>
        <v>552254.499514568</v>
      </c>
      <c r="K71" s="37" t="n">
        <f aca="false">J71/A71</f>
        <v>27.6127249757284</v>
      </c>
      <c r="L71" s="42" t="n">
        <f aca="false">D71-J71</f>
        <v>24825.998325432</v>
      </c>
      <c r="M71" s="27" t="n">
        <f aca="false">IF(J71&lt;D71,1,0)</f>
        <v>1</v>
      </c>
    </row>
    <row r="72" customFormat="false" ht="15" hidden="false" customHeight="false" outlineLevel="0" collapsed="false">
      <c r="B72" s="11" t="s">
        <v>845</v>
      </c>
      <c r="C72" s="46" t="n">
        <f aca="false">IFERROR(INDEX(A59:A71,MATCH(1,M59:M71,0)),"peste 20.000")</f>
        <v>5000</v>
      </c>
    </row>
    <row r="73" customFormat="false" ht="15" hidden="false" customHeight="false" outlineLevel="0" collapsed="false">
      <c r="B73" s="0" t="s">
        <v>846</v>
      </c>
      <c r="C73" s="0" t="n">
        <f aca="false">SUM(M59:M71)</f>
        <v>5</v>
      </c>
    </row>
    <row r="75" customFormat="false" ht="15" hidden="false" customHeight="false" outlineLevel="0" collapsed="false">
      <c r="A75" s="20" t="s">
        <v>848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customFormat="false" ht="23.85" hidden="false" customHeight="false" outlineLevel="0" collapsed="false">
      <c r="A76" s="45" t="s">
        <v>849</v>
      </c>
      <c r="B76" s="45" t="s">
        <v>833</v>
      </c>
      <c r="C76" s="45" t="s">
        <v>850</v>
      </c>
      <c r="D76" s="45" t="s">
        <v>851</v>
      </c>
      <c r="E76" s="45" t="s">
        <v>852</v>
      </c>
      <c r="F76" s="45" t="s">
        <v>837</v>
      </c>
      <c r="G76" s="45" t="s">
        <v>853</v>
      </c>
      <c r="H76" s="45" t="s">
        <v>839</v>
      </c>
      <c r="I76" s="45" t="s">
        <v>854</v>
      </c>
      <c r="J76" s="45" t="s">
        <v>841</v>
      </c>
      <c r="K76" s="45" t="s">
        <v>855</v>
      </c>
      <c r="L76" s="45" t="s">
        <v>856</v>
      </c>
      <c r="M76" s="45" t="s">
        <v>857</v>
      </c>
      <c r="N76" s="45" t="s">
        <v>858</v>
      </c>
      <c r="O76" s="45" t="s">
        <v>859</v>
      </c>
    </row>
    <row r="77" customFormat="false" ht="15" hidden="false" customHeight="false" outlineLevel="0" collapsed="false">
      <c r="A77" s="26" t="n">
        <v>500</v>
      </c>
      <c r="B77" s="27" t="n">
        <f aca="false">MATCH(A77,'Break-even'!$C$6:$F$6,1)</f>
        <v>1</v>
      </c>
      <c r="C77" s="37" t="n">
        <f aca="false">IF(B77&gt;=4,INDEX('Break-even'!$C$12:$F$12,1,4),INDEX('Break-even'!$C$12:$F$12,1,B77)+(INDEX('Break-even'!$C$12:$F$12,1,B77+1)-INDEX('Break-even'!$C$12:$F$12,1,B77))*LN(A77/INDEX('Break-even'!$C$6:$F$6,1,B77))/LN(INDEX('Break-even'!$C$6:$F$6,1,B77+1)/INDEX('Break-even'!$C$6:$F$6,1,B77)))</f>
        <v>6.40823996531185</v>
      </c>
      <c r="D77" s="37" t="n">
        <f aca="false">IF(B77&gt;=4,INDEX('Break-even'!$C$13:$F$13,1,4),INDEX('Break-even'!$C$13:$F$13,1,B77)+(INDEX('Break-even'!$C$13:$F$13,1,B77+1)-INDEX('Break-even'!$C$13:$F$13,1,B77))*LN(A77/INDEX('Break-even'!$C$6:$F$6,1,B77))/LN(INDEX('Break-even'!$C$6:$F$6,1,B77+1)/INDEX('Break-even'!$C$6:$F$6,1,B77)))</f>
        <v>1.11017401956739</v>
      </c>
      <c r="E77" s="27" t="n">
        <f aca="false">CEILING(A77/('Break-even'!$C$26*Ipoteze!$C$20),1)</f>
        <v>1</v>
      </c>
      <c r="F77" s="27" t="n">
        <f aca="false">MIN(Ipoteze!$C$20,CEILING(A77/('Break-even'!$C$26*E77),1))</f>
        <v>1</v>
      </c>
      <c r="G77" s="27" t="n">
        <f aca="false">E77*F77</f>
        <v>1</v>
      </c>
      <c r="H77" s="42" t="n">
        <f aca="false">E77*'Break-even'!$C$25/Ipoteze!$C$90+G77*('Break-even'!$C$27+'Break-even'!$C$19)+E77*Ipoteze!$C$155*'Break-even'!$C$22+Ipoteze!$C$124*E77*'Break-even'!$C$25+Ipoteze!$C$154*Ipoteze!$C$16*Ipoteze!$C$15*F77*E77*Ipoteze!$C$101/Ipoteze!$C$7+Ipoteze!$C$156</f>
        <v>29356.7848352941</v>
      </c>
      <c r="I77" s="37" t="n">
        <f aca="false">IF(B77&gt;=4,INDEX('Break-even'!$C$14:$F$14,1,4),INDEX('Break-even'!$C$14:$F$14,1,B77)+(INDEX('Break-even'!$C$14:$F$14,1,B77+1)-INDEX('Break-even'!$C$14:$F$14,1,B77))*LN(A77/INDEX('Break-even'!$C$6:$F$6,1,B77))/LN(INDEX('Break-even'!$C$6:$F$6,1,B77+1)/INDEX('Break-even'!$C$6:$F$6,1,B77)))</f>
        <v>0.336321059287055</v>
      </c>
      <c r="J77" s="42" t="n">
        <f aca="false">H77+A77*I77</f>
        <v>29524.9453649376</v>
      </c>
      <c r="K77" s="37" t="n">
        <f aca="false">J77/A77</f>
        <v>59.0498907298753</v>
      </c>
      <c r="L77" s="42" t="n">
        <f aca="false">A77*C77</f>
        <v>3204.11998265593</v>
      </c>
      <c r="M77" s="42" t="n">
        <f aca="false">A77*D77</f>
        <v>555.087009783693</v>
      </c>
      <c r="N77" s="27" t="n">
        <f aca="false">IF(J77&lt;L77,1,0)</f>
        <v>0</v>
      </c>
      <c r="O77" s="27" t="n">
        <f aca="false">IF(J77&lt;M77,1,0)</f>
        <v>0</v>
      </c>
    </row>
    <row r="78" customFormat="false" ht="15" hidden="false" customHeight="false" outlineLevel="0" collapsed="false">
      <c r="A78" s="26" t="n">
        <v>1000</v>
      </c>
      <c r="B78" s="27" t="n">
        <f aca="false">MATCH(A78,'Break-even'!$C$6:$F$6,1)</f>
        <v>2</v>
      </c>
      <c r="C78" s="37" t="n">
        <f aca="false">IF(B78&gt;=4,INDEX('Break-even'!$C$12:$F$12,1,4),INDEX('Break-even'!$C$12:$F$12,1,B78)+(INDEX('Break-even'!$C$12:$F$12,1,B78+1)-INDEX('Break-even'!$C$12:$F$12,1,B78))*LN(A78/INDEX('Break-even'!$C$6:$F$6,1,B78))/LN(INDEX('Break-even'!$C$6:$F$6,1,B78+1)/INDEX('Break-even'!$C$6:$F$6,1,B78)))</f>
        <v>4</v>
      </c>
      <c r="D78" s="37" t="n">
        <f aca="false">IF(B78&gt;=4,INDEX('Break-even'!$C$13:$F$13,1,4),INDEX('Break-even'!$C$13:$F$13,1,B78)+(INDEX('Break-even'!$C$13:$F$13,1,B78+1)-INDEX('Break-even'!$C$13:$F$13,1,B78))*LN(A78/INDEX('Break-even'!$C$6:$F$6,1,B78))/LN(INDEX('Break-even'!$C$6:$F$6,1,B78+1)/INDEX('Break-even'!$C$6:$F$6,1,B78)))</f>
        <v>0.94075687728</v>
      </c>
      <c r="E78" s="27" t="n">
        <f aca="false">CEILING(A78/('Break-even'!$C$26*Ipoteze!$C$20),1)</f>
        <v>1</v>
      </c>
      <c r="F78" s="27" t="n">
        <f aca="false">MIN(Ipoteze!$C$20,CEILING(A78/('Break-even'!$C$26*E78),1))</f>
        <v>1</v>
      </c>
      <c r="G78" s="27" t="n">
        <f aca="false">E78*F78</f>
        <v>1</v>
      </c>
      <c r="H78" s="42" t="n">
        <f aca="false">E78*'Break-even'!$C$25/Ipoteze!$C$90+G78*('Break-even'!$C$27+'Break-even'!$C$19)+E78*Ipoteze!$C$155*'Break-even'!$C$22+Ipoteze!$C$124*E78*'Break-even'!$C$25+Ipoteze!$C$154*Ipoteze!$C$16*Ipoteze!$C$15*F78*E78*Ipoteze!$C$101/Ipoteze!$C$7+Ipoteze!$C$156</f>
        <v>29356.7848352941</v>
      </c>
      <c r="I78" s="37" t="n">
        <f aca="false">IF(B78&gt;=4,INDEX('Break-even'!$C$14:$F$14,1,4),INDEX('Break-even'!$C$14:$F$14,1,B78)+(INDEX('Break-even'!$C$14:$F$14,1,B78+1)-INDEX('Break-even'!$C$14:$F$14,1,B78))*LN(A78/INDEX('Break-even'!$C$6:$F$6,1,B78))/LN(INDEX('Break-even'!$C$6:$F$6,1,B78+1)/INDEX('Break-even'!$C$6:$F$6,1,B78)))</f>
        <v>0.320843</v>
      </c>
      <c r="J78" s="42" t="n">
        <f aca="false">H78+A78*I78</f>
        <v>29677.6278352941</v>
      </c>
      <c r="K78" s="37" t="n">
        <f aca="false">J78/A78</f>
        <v>29.6776278352941</v>
      </c>
      <c r="L78" s="42" t="n">
        <f aca="false">A78*C78</f>
        <v>4000</v>
      </c>
      <c r="M78" s="42" t="n">
        <f aca="false">A78*D78</f>
        <v>940.75687728</v>
      </c>
      <c r="N78" s="27" t="n">
        <f aca="false">IF(J78&lt;L78,1,0)</f>
        <v>0</v>
      </c>
      <c r="O78" s="27" t="n">
        <f aca="false">IF(J78&lt;M78,1,0)</f>
        <v>0</v>
      </c>
    </row>
    <row r="79" customFormat="false" ht="15" hidden="false" customHeight="false" outlineLevel="0" collapsed="false">
      <c r="A79" s="26" t="n">
        <v>2500</v>
      </c>
      <c r="B79" s="27" t="n">
        <f aca="false">MATCH(A79,'Break-even'!$C$6:$F$6,1)</f>
        <v>2</v>
      </c>
      <c r="C79" s="37" t="n">
        <f aca="false">IF(B79&gt;=4,INDEX('Break-even'!$C$12:$F$12,1,4),INDEX('Break-even'!$C$12:$F$12,1,B79)+(INDEX('Break-even'!$C$12:$F$12,1,B79+1)-INDEX('Break-even'!$C$12:$F$12,1,B79))*LN(A79/INDEX('Break-even'!$C$6:$F$6,1,B79))/LN(INDEX('Break-even'!$C$6:$F$6,1,B79+1)/INDEX('Break-even'!$C$6:$F$6,1,B79)))</f>
        <v>3.14601483711009</v>
      </c>
      <c r="D79" s="37" t="n">
        <f aca="false">IF(B79&gt;=4,INDEX('Break-even'!$C$13:$F$13,1,4),INDEX('Break-even'!$C$13:$F$13,1,B79)+(INDEX('Break-even'!$C$13:$F$13,1,B79+1)-INDEX('Break-even'!$C$13:$F$13,1,B79))*LN(A79/INDEX('Break-even'!$C$6:$F$6,1,B79))/LN(INDEX('Break-even'!$C$6:$F$6,1,B79+1)/INDEX('Break-even'!$C$6:$F$6,1,B79)))</f>
        <v>0.775087288745782</v>
      </c>
      <c r="E79" s="27" t="n">
        <f aca="false">CEILING(A79/('Break-even'!$C$26*Ipoteze!$C$20),1)</f>
        <v>1</v>
      </c>
      <c r="F79" s="27" t="n">
        <f aca="false">MIN(Ipoteze!$C$20,CEILING(A79/('Break-even'!$C$26*E79),1))</f>
        <v>1</v>
      </c>
      <c r="G79" s="27" t="n">
        <f aca="false">E79*F79</f>
        <v>1</v>
      </c>
      <c r="H79" s="42" t="n">
        <f aca="false">E79*'Break-even'!$C$25/Ipoteze!$C$90+G79*('Break-even'!$C$27+'Break-even'!$C$19)+E79*Ipoteze!$C$155*'Break-even'!$C$22+Ipoteze!$C$124*E79*'Break-even'!$C$25+Ipoteze!$C$154*Ipoteze!$C$16*Ipoteze!$C$15*F79*E79*Ipoteze!$C$101/Ipoteze!$C$7+Ipoteze!$C$156</f>
        <v>29356.7848352941</v>
      </c>
      <c r="I79" s="37" t="n">
        <f aca="false">IF(B79&gt;=4,INDEX('Break-even'!$C$14:$F$14,1,4),INDEX('Break-even'!$C$14:$F$14,1,B79)+(INDEX('Break-even'!$C$14:$F$14,1,B79+1)-INDEX('Break-even'!$C$14:$F$14,1,B79))*LN(A79/INDEX('Break-even'!$C$6:$F$6,1,B79))/LN(INDEX('Break-even'!$C$6:$F$6,1,B79+1)/INDEX('Break-even'!$C$6:$F$6,1,B79)))</f>
        <v>0.312670361991144</v>
      </c>
      <c r="J79" s="42" t="n">
        <f aca="false">H79+A79*I79</f>
        <v>30138.460740272</v>
      </c>
      <c r="K79" s="37" t="n">
        <f aca="false">J79/A79</f>
        <v>12.0553842961088</v>
      </c>
      <c r="L79" s="42" t="n">
        <f aca="false">A79*C79</f>
        <v>7865.03709277522</v>
      </c>
      <c r="M79" s="42" t="n">
        <f aca="false">A79*D79</f>
        <v>1937.71822186446</v>
      </c>
      <c r="N79" s="27" t="n">
        <f aca="false">IF(J79&lt;L79,1,0)</f>
        <v>0</v>
      </c>
      <c r="O79" s="27" t="n">
        <f aca="false">IF(J79&lt;M79,1,0)</f>
        <v>0</v>
      </c>
    </row>
    <row r="80" customFormat="false" ht="15" hidden="false" customHeight="false" outlineLevel="0" collapsed="false">
      <c r="A80" s="26" t="n">
        <v>5000</v>
      </c>
      <c r="B80" s="27" t="n">
        <f aca="false">MATCH(A80,'Break-even'!$C$6:$F$6,1)</f>
        <v>3</v>
      </c>
      <c r="C80" s="37" t="n">
        <f aca="false">IF(B80&gt;=4,INDEX('Break-even'!$C$12:$F$12,1,4),INDEX('Break-even'!$C$12:$F$12,1,B80)+(INDEX('Break-even'!$C$12:$F$12,1,B80+1)-INDEX('Break-even'!$C$12:$F$12,1,B80))*LN(A80/INDEX('Break-even'!$C$6:$F$6,1,B80))/LN(INDEX('Break-even'!$C$6:$F$6,1,B80+1)/INDEX('Break-even'!$C$6:$F$6,1,B80)))</f>
        <v>2.5</v>
      </c>
      <c r="D80" s="37" t="n">
        <f aca="false">IF(B80&gt;=4,INDEX('Break-even'!$C$13:$F$13,1,4),INDEX('Break-even'!$C$13:$F$13,1,B80)+(INDEX('Break-even'!$C$13:$F$13,1,B80+1)-INDEX('Break-even'!$C$13:$F$13,1,B80))*LN(A80/INDEX('Break-even'!$C$6:$F$6,1,B80))/LN(INDEX('Break-even'!$C$6:$F$6,1,B80+1)/INDEX('Break-even'!$C$6:$F$6,1,B80)))</f>
        <v>0.649763083008</v>
      </c>
      <c r="E80" s="27" t="n">
        <f aca="false">CEILING(A80/('Break-even'!$C$26*Ipoteze!$C$20),1)</f>
        <v>1</v>
      </c>
      <c r="F80" s="27" t="n">
        <f aca="false">MIN(Ipoteze!$C$20,CEILING(A80/('Break-even'!$C$26*E80),1))</f>
        <v>1</v>
      </c>
      <c r="G80" s="27" t="n">
        <f aca="false">E80*F80</f>
        <v>1</v>
      </c>
      <c r="H80" s="42" t="n">
        <f aca="false">E80*'Break-even'!$C$25/Ipoteze!$C$90+G80*('Break-even'!$C$27+'Break-even'!$C$19)+E80*Ipoteze!$C$155*'Break-even'!$C$22+Ipoteze!$C$124*E80*'Break-even'!$C$25+Ipoteze!$C$154*Ipoteze!$C$16*Ipoteze!$C$15*F80*E80*Ipoteze!$C$101/Ipoteze!$C$7+Ipoteze!$C$156</f>
        <v>29356.7848352941</v>
      </c>
      <c r="I80" s="37" t="n">
        <f aca="false">IF(B80&gt;=4,INDEX('Break-even'!$C$14:$F$14,1,4),INDEX('Break-even'!$C$14:$F$14,1,B80)+(INDEX('Break-even'!$C$14:$F$14,1,B80+1)-INDEX('Break-even'!$C$14:$F$14,1,B80))*LN(A80/INDEX('Break-even'!$C$6:$F$6,1,B80))/LN(INDEX('Break-even'!$C$6:$F$6,1,B80+1)/INDEX('Break-even'!$C$6:$F$6,1,B80)))</f>
        <v>0.306488</v>
      </c>
      <c r="J80" s="42" t="n">
        <f aca="false">H80+A80*I80</f>
        <v>30889.2248352941</v>
      </c>
      <c r="K80" s="37" t="n">
        <f aca="false">J80/A80</f>
        <v>6.17784496705882</v>
      </c>
      <c r="L80" s="42" t="n">
        <f aca="false">A80*C80</f>
        <v>12500</v>
      </c>
      <c r="M80" s="42" t="n">
        <f aca="false">A80*D80</f>
        <v>3248.81541504</v>
      </c>
      <c r="N80" s="27" t="n">
        <f aca="false">IF(J80&lt;L80,1,0)</f>
        <v>0</v>
      </c>
      <c r="O80" s="27" t="n">
        <f aca="false">IF(J80&lt;M80,1,0)</f>
        <v>0</v>
      </c>
    </row>
    <row r="81" customFormat="false" ht="15" hidden="false" customHeight="false" outlineLevel="0" collapsed="false">
      <c r="A81" s="26" t="n">
        <v>7500</v>
      </c>
      <c r="B81" s="27" t="n">
        <f aca="false">MATCH(A81,'Break-even'!$C$6:$F$6,1)</f>
        <v>3</v>
      </c>
      <c r="C81" s="37" t="n">
        <f aca="false">IF(B81&gt;=4,INDEX('Break-even'!$C$12:$F$12,1,4),INDEX('Break-even'!$C$12:$F$12,1,B81)+(INDEX('Break-even'!$C$12:$F$12,1,B81+1)-INDEX('Break-even'!$C$12:$F$12,1,B81))*LN(A81/INDEX('Break-even'!$C$6:$F$6,1,B81))/LN(INDEX('Break-even'!$C$6:$F$6,1,B81+1)/INDEX('Break-even'!$C$6:$F$6,1,B81)))</f>
        <v>2.2952631247476</v>
      </c>
      <c r="D81" s="37" t="n">
        <f aca="false">IF(B81&gt;=4,INDEX('Break-even'!$C$13:$F$13,1,4),INDEX('Break-even'!$C$13:$F$13,1,B81)+(INDEX('Break-even'!$C$13:$F$13,1,B81+1)-INDEX('Break-even'!$C$13:$F$13,1,B81))*LN(A81/INDEX('Break-even'!$C$6:$F$6,1,B81))/LN(INDEX('Break-even'!$C$6:$F$6,1,B81+1)/INDEX('Break-even'!$C$6:$F$6,1,B81)))</f>
        <v>0.602480890889748</v>
      </c>
      <c r="E81" s="27" t="n">
        <f aca="false">CEILING(A81/('Break-even'!$C$26*Ipoteze!$C$20),1)</f>
        <v>1</v>
      </c>
      <c r="F81" s="27" t="n">
        <f aca="false">MIN(Ipoteze!$C$20,CEILING(A81/('Break-even'!$C$26*E81),1))</f>
        <v>1</v>
      </c>
      <c r="G81" s="27" t="n">
        <f aca="false">E81*F81</f>
        <v>1</v>
      </c>
      <c r="H81" s="42" t="n">
        <f aca="false">E81*'Break-even'!$C$25/Ipoteze!$C$90+G81*('Break-even'!$C$27+'Break-even'!$C$19)+E81*Ipoteze!$C$155*'Break-even'!$C$22+Ipoteze!$C$124*E81*'Break-even'!$C$25+Ipoteze!$C$154*Ipoteze!$C$16*Ipoteze!$C$15*F81*E81*Ipoteze!$C$101/Ipoteze!$C$7+Ipoteze!$C$156</f>
        <v>29356.7848352941</v>
      </c>
      <c r="I81" s="37" t="n">
        <f aca="false">IF(B81&gt;=4,INDEX('Break-even'!$C$14:$F$14,1,4),INDEX('Break-even'!$C$14:$F$14,1,B81)+(INDEX('Break-even'!$C$14:$F$14,1,B81+1)-INDEX('Break-even'!$C$14:$F$14,1,B81))*LN(A81/INDEX('Break-even'!$C$6:$F$6,1,B81))/LN(INDEX('Break-even'!$C$6:$F$6,1,B81+1)/INDEX('Break-even'!$C$6:$F$6,1,B81)))</f>
        <v>0.303358158139891</v>
      </c>
      <c r="J81" s="42" t="n">
        <f aca="false">H81+A81*I81</f>
        <v>31631.9710213433</v>
      </c>
      <c r="K81" s="37" t="n">
        <f aca="false">J81/A81</f>
        <v>4.21759613617911</v>
      </c>
      <c r="L81" s="42" t="n">
        <f aca="false">A81*C81</f>
        <v>17214.473435607</v>
      </c>
      <c r="M81" s="42" t="n">
        <f aca="false">A81*D81</f>
        <v>4518.60668167311</v>
      </c>
      <c r="N81" s="27" t="n">
        <f aca="false">IF(J81&lt;L81,1,0)</f>
        <v>0</v>
      </c>
      <c r="O81" s="27" t="n">
        <f aca="false">IF(J81&lt;M81,1,0)</f>
        <v>0</v>
      </c>
    </row>
    <row r="82" customFormat="false" ht="15" hidden="false" customHeight="false" outlineLevel="0" collapsed="false">
      <c r="A82" s="26" t="n">
        <v>10000</v>
      </c>
      <c r="B82" s="27" t="n">
        <f aca="false">MATCH(A82,'Break-even'!$C$6:$F$6,1)</f>
        <v>3</v>
      </c>
      <c r="C82" s="37" t="n">
        <f aca="false">IF(B82&gt;=4,INDEX('Break-even'!$C$12:$F$12,1,4),INDEX('Break-even'!$C$12:$F$12,1,B82)+(INDEX('Break-even'!$C$12:$F$12,1,B82+1)-INDEX('Break-even'!$C$12:$F$12,1,B82))*LN(A82/INDEX('Break-even'!$C$6:$F$6,1,B82))/LN(INDEX('Break-even'!$C$6:$F$6,1,B82+1)/INDEX('Break-even'!$C$6:$F$6,1,B82)))</f>
        <v>2.15</v>
      </c>
      <c r="D82" s="37" t="n">
        <f aca="false">IF(B82&gt;=4,INDEX('Break-even'!$C$13:$F$13,1,4),INDEX('Break-even'!$C$13:$F$13,1,B82)+(INDEX('Break-even'!$C$13:$F$13,1,B82+1)-INDEX('Break-even'!$C$13:$F$13,1,B82))*LN(A82/INDEX('Break-even'!$C$6:$F$6,1,B82))/LN(INDEX('Break-even'!$C$6:$F$6,1,B82+1)/INDEX('Break-even'!$C$6:$F$6,1,B82)))</f>
        <v>0.568933641702</v>
      </c>
      <c r="E82" s="27" t="n">
        <f aca="false">CEILING(A82/('Break-even'!$C$26*Ipoteze!$C$20),1)</f>
        <v>1</v>
      </c>
      <c r="F82" s="27" t="n">
        <f aca="false">MIN(Ipoteze!$C$20,CEILING(A82/('Break-even'!$C$26*E82),1))</f>
        <v>1</v>
      </c>
      <c r="G82" s="27" t="n">
        <f aca="false">E82*F82</f>
        <v>1</v>
      </c>
      <c r="H82" s="42" t="n">
        <f aca="false">E82*'Break-even'!$C$25/Ipoteze!$C$90+G82*('Break-even'!$C$27+'Break-even'!$C$19)+E82*Ipoteze!$C$155*'Break-even'!$C$22+Ipoteze!$C$124*E82*'Break-even'!$C$25+Ipoteze!$C$154*Ipoteze!$C$16*Ipoteze!$C$15*F82*E82*Ipoteze!$C$101/Ipoteze!$C$7+Ipoteze!$C$156</f>
        <v>29356.7848352941</v>
      </c>
      <c r="I82" s="37" t="n">
        <f aca="false">IF(B82&gt;=4,INDEX('Break-even'!$C$14:$F$14,1,4),INDEX('Break-even'!$C$14:$F$14,1,B82)+(INDEX('Break-even'!$C$14:$F$14,1,B82+1)-INDEX('Break-even'!$C$14:$F$14,1,B82))*LN(A82/INDEX('Break-even'!$C$6:$F$6,1,B82))/LN(INDEX('Break-even'!$C$6:$F$6,1,B82+1)/INDEX('Break-even'!$C$6:$F$6,1,B82)))</f>
        <v>0.3011375</v>
      </c>
      <c r="J82" s="42" t="n">
        <f aca="false">H82+A82*I82</f>
        <v>32368.1598352941</v>
      </c>
      <c r="K82" s="37" t="n">
        <f aca="false">J82/A82</f>
        <v>3.23681598352941</v>
      </c>
      <c r="L82" s="42" t="n">
        <f aca="false">A82*C82</f>
        <v>21500</v>
      </c>
      <c r="M82" s="42" t="n">
        <f aca="false">A82*D82</f>
        <v>5689.33641702</v>
      </c>
      <c r="N82" s="27" t="n">
        <f aca="false">IF(J82&lt;L82,1,0)</f>
        <v>0</v>
      </c>
      <c r="O82" s="27" t="n">
        <f aca="false">IF(J82&lt;M82,1,0)</f>
        <v>0</v>
      </c>
    </row>
    <row r="83" customFormat="false" ht="15" hidden="false" customHeight="false" outlineLevel="0" collapsed="false">
      <c r="A83" s="26" t="n">
        <v>15000</v>
      </c>
      <c r="B83" s="27" t="n">
        <f aca="false">MATCH(A83,'Break-even'!$C$6:$F$6,1)</f>
        <v>3</v>
      </c>
      <c r="C83" s="37" t="n">
        <f aca="false">IF(B83&gt;=4,INDEX('Break-even'!$C$12:$F$12,1,4),INDEX('Break-even'!$C$12:$F$12,1,B83)+(INDEX('Break-even'!$C$12:$F$12,1,B83+1)-INDEX('Break-even'!$C$12:$F$12,1,B83))*LN(A83/INDEX('Break-even'!$C$6:$F$6,1,B83))/LN(INDEX('Break-even'!$C$6:$F$6,1,B83+1)/INDEX('Break-even'!$C$6:$F$6,1,B83)))</f>
        <v>1.9452631247476</v>
      </c>
      <c r="D83" s="37" t="n">
        <f aca="false">IF(B83&gt;=4,INDEX('Break-even'!$C$13:$F$13,1,4),INDEX('Break-even'!$C$13:$F$13,1,B83)+(INDEX('Break-even'!$C$13:$F$13,1,B83+1)-INDEX('Break-even'!$C$13:$F$13,1,B83))*LN(A83/INDEX('Break-even'!$C$6:$F$6,1,B83))/LN(INDEX('Break-even'!$C$6:$F$6,1,B83+1)/INDEX('Break-even'!$C$6:$F$6,1,B83)))</f>
        <v>0.521651449583748</v>
      </c>
      <c r="E83" s="27" t="n">
        <f aca="false">CEILING(A83/('Break-even'!$C$26*Ipoteze!$C$20),1)</f>
        <v>1</v>
      </c>
      <c r="F83" s="27" t="n">
        <f aca="false">MIN(Ipoteze!$C$20,CEILING(A83/('Break-even'!$C$26*E83),1))</f>
        <v>1</v>
      </c>
      <c r="G83" s="27" t="n">
        <f aca="false">E83*F83</f>
        <v>1</v>
      </c>
      <c r="H83" s="42" t="n">
        <f aca="false">E83*'Break-even'!$C$25/Ipoteze!$C$90+G83*('Break-even'!$C$27+'Break-even'!$C$19)+E83*Ipoteze!$C$155*'Break-even'!$C$22+Ipoteze!$C$124*E83*'Break-even'!$C$25+Ipoteze!$C$154*Ipoteze!$C$16*Ipoteze!$C$15*F83*E83*Ipoteze!$C$101/Ipoteze!$C$7+Ipoteze!$C$156</f>
        <v>29356.7848352941</v>
      </c>
      <c r="I83" s="37" t="n">
        <f aca="false">IF(B83&gt;=4,INDEX('Break-even'!$C$14:$F$14,1,4),INDEX('Break-even'!$C$14:$F$14,1,B83)+(INDEX('Break-even'!$C$14:$F$14,1,B83+1)-INDEX('Break-even'!$C$14:$F$14,1,B83))*LN(A83/INDEX('Break-even'!$C$6:$F$6,1,B83))/LN(INDEX('Break-even'!$C$6:$F$6,1,B83+1)/INDEX('Break-even'!$C$6:$F$6,1,B83)))</f>
        <v>0.298007658139891</v>
      </c>
      <c r="J83" s="42" t="n">
        <f aca="false">H83+A83*I83</f>
        <v>33826.8997073925</v>
      </c>
      <c r="K83" s="37" t="n">
        <f aca="false">J83/A83</f>
        <v>2.2551266471595</v>
      </c>
      <c r="L83" s="42" t="n">
        <f aca="false">A83*C83</f>
        <v>29178.9468712139</v>
      </c>
      <c r="M83" s="42" t="n">
        <f aca="false">A83*D83</f>
        <v>7824.77174375623</v>
      </c>
      <c r="N83" s="27" t="n">
        <f aca="false">IF(J83&lt;L83,1,0)</f>
        <v>0</v>
      </c>
      <c r="O83" s="27" t="n">
        <f aca="false">IF(J83&lt;M83,1,0)</f>
        <v>0</v>
      </c>
    </row>
    <row r="84" customFormat="false" ht="15" hidden="false" customHeight="false" outlineLevel="0" collapsed="false">
      <c r="A84" s="26" t="n">
        <v>20000</v>
      </c>
      <c r="B84" s="27" t="n">
        <f aca="false">MATCH(A84,'Break-even'!$C$6:$F$6,1)</f>
        <v>4</v>
      </c>
      <c r="C84" s="37" t="n">
        <f aca="false">IF(B84&gt;=4,INDEX('Break-even'!$C$12:$F$12,1,4),INDEX('Break-even'!$C$12:$F$12,1,B84)+(INDEX('Break-even'!$C$12:$F$12,1,B84+1)-INDEX('Break-even'!$C$12:$F$12,1,B84))*LN(A84/INDEX('Break-even'!$C$6:$F$6,1,B84))/LN(INDEX('Break-even'!$C$6:$F$6,1,B84+1)/INDEX('Break-even'!$C$6:$F$6,1,B84)))</f>
        <v>1.8</v>
      </c>
      <c r="D84" s="37" t="n">
        <f aca="false">IF(B84&gt;=4,INDEX('Break-even'!$C$13:$F$13,1,4),INDEX('Break-even'!$C$13:$F$13,1,B84)+(INDEX('Break-even'!$C$13:$F$13,1,B84+1)-INDEX('Break-even'!$C$13:$F$13,1,B84))*LN(A84/INDEX('Break-even'!$C$6:$F$6,1,B84))/LN(INDEX('Break-even'!$C$6:$F$6,1,B84+1)/INDEX('Break-even'!$C$6:$F$6,1,B84)))</f>
        <v>0.488104200396</v>
      </c>
      <c r="E84" s="27" t="n">
        <f aca="false">CEILING(A84/('Break-even'!$C$26*Ipoteze!$C$20),1)</f>
        <v>1</v>
      </c>
      <c r="F84" s="27" t="n">
        <f aca="false">MIN(Ipoteze!$C$20,CEILING(A84/('Break-even'!$C$26*E84),1))</f>
        <v>1</v>
      </c>
      <c r="G84" s="27" t="n">
        <f aca="false">E84*F84</f>
        <v>1</v>
      </c>
      <c r="H84" s="42" t="n">
        <f aca="false">E84*'Break-even'!$C$25/Ipoteze!$C$90+G84*('Break-even'!$C$27+'Break-even'!$C$19)+E84*Ipoteze!$C$155*'Break-even'!$C$22+Ipoteze!$C$124*E84*'Break-even'!$C$25+Ipoteze!$C$154*Ipoteze!$C$16*Ipoteze!$C$15*F84*E84*Ipoteze!$C$101/Ipoteze!$C$7+Ipoteze!$C$156</f>
        <v>29356.7848352941</v>
      </c>
      <c r="I84" s="37" t="n">
        <f aca="false">IF(B84&gt;=4,INDEX('Break-even'!$C$14:$F$14,1,4),INDEX('Break-even'!$C$14:$F$14,1,B84)+(INDEX('Break-even'!$C$14:$F$14,1,B84+1)-INDEX('Break-even'!$C$14:$F$14,1,B84))*LN(A84/INDEX('Break-even'!$C$6:$F$6,1,B84))/LN(INDEX('Break-even'!$C$6:$F$6,1,B84+1)/INDEX('Break-even'!$C$6:$F$6,1,B84)))</f>
        <v>0.295787</v>
      </c>
      <c r="J84" s="42" t="n">
        <f aca="false">H84+A84*I84</f>
        <v>35272.5248352941</v>
      </c>
      <c r="K84" s="37" t="n">
        <f aca="false">J84/A84</f>
        <v>1.76362624176471</v>
      </c>
      <c r="L84" s="42" t="n">
        <f aca="false">A84*C84</f>
        <v>36000</v>
      </c>
      <c r="M84" s="42" t="n">
        <f aca="false">A84*D84</f>
        <v>9762.08400792</v>
      </c>
      <c r="N84" s="27" t="n">
        <f aca="false">IF(J84&lt;L84,1,0)</f>
        <v>1</v>
      </c>
      <c r="O84" s="27" t="n">
        <f aca="false">IF(J84&lt;M84,1,0)</f>
        <v>0</v>
      </c>
    </row>
    <row r="85" customFormat="false" ht="15" hidden="false" customHeight="false" outlineLevel="0" collapsed="false">
      <c r="A85" s="26" t="n">
        <v>25000</v>
      </c>
      <c r="B85" s="27" t="n">
        <f aca="false">MATCH(A85,'Break-even'!$C$6:$F$6,1)</f>
        <v>4</v>
      </c>
      <c r="C85" s="37" t="n">
        <f aca="false">IF(B85&gt;=4,INDEX('Break-even'!$C$12:$F$12,1,4),INDEX('Break-even'!$C$12:$F$12,1,B85)+(INDEX('Break-even'!$C$12:$F$12,1,B85+1)-INDEX('Break-even'!$C$12:$F$12,1,B85))*LN(A85/INDEX('Break-even'!$C$6:$F$6,1,B85))/LN(INDEX('Break-even'!$C$6:$F$6,1,B85+1)/INDEX('Break-even'!$C$6:$F$6,1,B85)))</f>
        <v>1.8</v>
      </c>
      <c r="D85" s="37" t="n">
        <f aca="false">IF(B85&gt;=4,INDEX('Break-even'!$C$13:$F$13,1,4),INDEX('Break-even'!$C$13:$F$13,1,B85)+(INDEX('Break-even'!$C$13:$F$13,1,B85+1)-INDEX('Break-even'!$C$13:$F$13,1,B85))*LN(A85/INDEX('Break-even'!$C$6:$F$6,1,B85))/LN(INDEX('Break-even'!$C$6:$F$6,1,B85+1)/INDEX('Break-even'!$C$6:$F$6,1,B85)))</f>
        <v>0.488104200396</v>
      </c>
      <c r="E85" s="27" t="n">
        <f aca="false">CEILING(A85/('Break-even'!$C$26*Ipoteze!$C$20),1)</f>
        <v>1</v>
      </c>
      <c r="F85" s="27" t="n">
        <f aca="false">MIN(Ipoteze!$C$20,CEILING(A85/('Break-even'!$C$26*E85),1))</f>
        <v>2</v>
      </c>
      <c r="G85" s="27" t="n">
        <f aca="false">E85*F85</f>
        <v>2</v>
      </c>
      <c r="H85" s="42" t="n">
        <f aca="false">E85*'Break-even'!$C$25/Ipoteze!$C$90+G85*('Break-even'!$C$27+'Break-even'!$C$19)+E85*Ipoteze!$C$155*'Break-even'!$C$22+Ipoteze!$C$124*E85*'Break-even'!$C$25+Ipoteze!$C$154*Ipoteze!$C$16*Ipoteze!$C$15*F85*E85*Ipoteze!$C$101/Ipoteze!$C$7+Ipoteze!$C$156</f>
        <v>46005.3730705882</v>
      </c>
      <c r="I85" s="37" t="n">
        <f aca="false">IF(B85&gt;=4,INDEX('Break-even'!$C$14:$F$14,1,4),INDEX('Break-even'!$C$14:$F$14,1,B85)+(INDEX('Break-even'!$C$14:$F$14,1,B85+1)-INDEX('Break-even'!$C$14:$F$14,1,B85))*LN(A85/INDEX('Break-even'!$C$6:$F$6,1,B85))/LN(INDEX('Break-even'!$C$6:$F$6,1,B85+1)/INDEX('Break-even'!$C$6:$F$6,1,B85)))</f>
        <v>0.295787</v>
      </c>
      <c r="J85" s="42" t="n">
        <f aca="false">H85+A85*I85</f>
        <v>53400.0480705882</v>
      </c>
      <c r="K85" s="37" t="n">
        <f aca="false">J85/A85</f>
        <v>2.13600192282353</v>
      </c>
      <c r="L85" s="42" t="n">
        <f aca="false">A85*C85</f>
        <v>45000</v>
      </c>
      <c r="M85" s="42" t="n">
        <f aca="false">A85*D85</f>
        <v>12202.6050099</v>
      </c>
      <c r="N85" s="27" t="n">
        <f aca="false">IF(J85&lt;L85,1,0)</f>
        <v>0</v>
      </c>
      <c r="O85" s="27" t="n">
        <f aca="false">IF(J85&lt;M85,1,0)</f>
        <v>0</v>
      </c>
    </row>
    <row r="86" customFormat="false" ht="15" hidden="false" customHeight="false" outlineLevel="0" collapsed="false">
      <c r="A86" s="26" t="n">
        <v>30000</v>
      </c>
      <c r="B86" s="27" t="n">
        <f aca="false">MATCH(A86,'Break-even'!$C$6:$F$6,1)</f>
        <v>4</v>
      </c>
      <c r="C86" s="37" t="n">
        <f aca="false">IF(B86&gt;=4,INDEX('Break-even'!$C$12:$F$12,1,4),INDEX('Break-even'!$C$12:$F$12,1,B86)+(INDEX('Break-even'!$C$12:$F$12,1,B86+1)-INDEX('Break-even'!$C$12:$F$12,1,B86))*LN(A86/INDEX('Break-even'!$C$6:$F$6,1,B86))/LN(INDEX('Break-even'!$C$6:$F$6,1,B86+1)/INDEX('Break-even'!$C$6:$F$6,1,B86)))</f>
        <v>1.8</v>
      </c>
      <c r="D86" s="37" t="n">
        <f aca="false">IF(B86&gt;=4,INDEX('Break-even'!$C$13:$F$13,1,4),INDEX('Break-even'!$C$13:$F$13,1,B86)+(INDEX('Break-even'!$C$13:$F$13,1,B86+1)-INDEX('Break-even'!$C$13:$F$13,1,B86))*LN(A86/INDEX('Break-even'!$C$6:$F$6,1,B86))/LN(INDEX('Break-even'!$C$6:$F$6,1,B86+1)/INDEX('Break-even'!$C$6:$F$6,1,B86)))</f>
        <v>0.488104200396</v>
      </c>
      <c r="E86" s="27" t="n">
        <f aca="false">CEILING(A86/('Break-even'!$C$26*Ipoteze!$C$20),1)</f>
        <v>1</v>
      </c>
      <c r="F86" s="27" t="n">
        <f aca="false">MIN(Ipoteze!$C$20,CEILING(A86/('Break-even'!$C$26*E86),1))</f>
        <v>2</v>
      </c>
      <c r="G86" s="27" t="n">
        <f aca="false">E86*F86</f>
        <v>2</v>
      </c>
      <c r="H86" s="42" t="n">
        <f aca="false">E86*'Break-even'!$C$25/Ipoteze!$C$90+G86*('Break-even'!$C$27+'Break-even'!$C$19)+E86*Ipoteze!$C$155*'Break-even'!$C$22+Ipoteze!$C$124*E86*'Break-even'!$C$25+Ipoteze!$C$154*Ipoteze!$C$16*Ipoteze!$C$15*F86*E86*Ipoteze!$C$101/Ipoteze!$C$7+Ipoteze!$C$156</f>
        <v>46005.3730705882</v>
      </c>
      <c r="I86" s="37" t="n">
        <f aca="false">IF(B86&gt;=4,INDEX('Break-even'!$C$14:$F$14,1,4),INDEX('Break-even'!$C$14:$F$14,1,B86)+(INDEX('Break-even'!$C$14:$F$14,1,B86+1)-INDEX('Break-even'!$C$14:$F$14,1,B86))*LN(A86/INDEX('Break-even'!$C$6:$F$6,1,B86))/LN(INDEX('Break-even'!$C$6:$F$6,1,B86+1)/INDEX('Break-even'!$C$6:$F$6,1,B86)))</f>
        <v>0.295787</v>
      </c>
      <c r="J86" s="42" t="n">
        <f aca="false">H86+A86*I86</f>
        <v>54878.9830705882</v>
      </c>
      <c r="K86" s="37" t="n">
        <f aca="false">J86/A86</f>
        <v>1.82929943568627</v>
      </c>
      <c r="L86" s="42" t="n">
        <f aca="false">A86*C86</f>
        <v>54000</v>
      </c>
      <c r="M86" s="42" t="n">
        <f aca="false">A86*D86</f>
        <v>14643.12601188</v>
      </c>
      <c r="N86" s="27" t="n">
        <f aca="false">IF(J86&lt;L86,1,0)</f>
        <v>0</v>
      </c>
      <c r="O86" s="27" t="n">
        <f aca="false">IF(J86&lt;M86,1,0)</f>
        <v>0</v>
      </c>
    </row>
    <row r="87" customFormat="false" ht="15" hidden="false" customHeight="false" outlineLevel="0" collapsed="false">
      <c r="A87" s="26" t="n">
        <v>40000</v>
      </c>
      <c r="B87" s="27" t="n">
        <f aca="false">MATCH(A87,'Break-even'!$C$6:$F$6,1)</f>
        <v>4</v>
      </c>
      <c r="C87" s="37" t="n">
        <f aca="false">IF(B87&gt;=4,INDEX('Break-even'!$C$12:$F$12,1,4),INDEX('Break-even'!$C$12:$F$12,1,B87)+(INDEX('Break-even'!$C$12:$F$12,1,B87+1)-INDEX('Break-even'!$C$12:$F$12,1,B87))*LN(A87/INDEX('Break-even'!$C$6:$F$6,1,B87))/LN(INDEX('Break-even'!$C$6:$F$6,1,B87+1)/INDEX('Break-even'!$C$6:$F$6,1,B87)))</f>
        <v>1.8</v>
      </c>
      <c r="D87" s="37" t="n">
        <f aca="false">IF(B87&gt;=4,INDEX('Break-even'!$C$13:$F$13,1,4),INDEX('Break-even'!$C$13:$F$13,1,B87)+(INDEX('Break-even'!$C$13:$F$13,1,B87+1)-INDEX('Break-even'!$C$13:$F$13,1,B87))*LN(A87/INDEX('Break-even'!$C$6:$F$6,1,B87))/LN(INDEX('Break-even'!$C$6:$F$6,1,B87+1)/INDEX('Break-even'!$C$6:$F$6,1,B87)))</f>
        <v>0.488104200396</v>
      </c>
      <c r="E87" s="27" t="n">
        <f aca="false">CEILING(A87/('Break-even'!$C$26*Ipoteze!$C$20),1)</f>
        <v>1</v>
      </c>
      <c r="F87" s="27" t="n">
        <f aca="false">MIN(Ipoteze!$C$20,CEILING(A87/('Break-even'!$C$26*E87),1))</f>
        <v>2</v>
      </c>
      <c r="G87" s="27" t="n">
        <f aca="false">E87*F87</f>
        <v>2</v>
      </c>
      <c r="H87" s="42" t="n">
        <f aca="false">E87*'Break-even'!$C$25/Ipoteze!$C$90+G87*('Break-even'!$C$27+'Break-even'!$C$19)+E87*Ipoteze!$C$155*'Break-even'!$C$22+Ipoteze!$C$124*E87*'Break-even'!$C$25+Ipoteze!$C$154*Ipoteze!$C$16*Ipoteze!$C$15*F87*E87*Ipoteze!$C$101/Ipoteze!$C$7+Ipoteze!$C$156</f>
        <v>46005.3730705882</v>
      </c>
      <c r="I87" s="37" t="n">
        <f aca="false">IF(B87&gt;=4,INDEX('Break-even'!$C$14:$F$14,1,4),INDEX('Break-even'!$C$14:$F$14,1,B87)+(INDEX('Break-even'!$C$14:$F$14,1,B87+1)-INDEX('Break-even'!$C$14:$F$14,1,B87))*LN(A87/INDEX('Break-even'!$C$6:$F$6,1,B87))/LN(INDEX('Break-even'!$C$6:$F$6,1,B87+1)/INDEX('Break-even'!$C$6:$F$6,1,B87)))</f>
        <v>0.295787</v>
      </c>
      <c r="J87" s="42" t="n">
        <f aca="false">H87+A87*I87</f>
        <v>57836.8530705882</v>
      </c>
      <c r="K87" s="37" t="n">
        <f aca="false">J87/A87</f>
        <v>1.44592132676471</v>
      </c>
      <c r="L87" s="42" t="n">
        <f aca="false">A87*C87</f>
        <v>72000</v>
      </c>
      <c r="M87" s="42" t="n">
        <f aca="false">A87*D87</f>
        <v>19524.16801584</v>
      </c>
      <c r="N87" s="27" t="n">
        <f aca="false">IF(J87&lt;L87,1,0)</f>
        <v>1</v>
      </c>
      <c r="O87" s="27" t="n">
        <f aca="false">IF(J87&lt;M87,1,0)</f>
        <v>0</v>
      </c>
    </row>
    <row r="88" customFormat="false" ht="15" hidden="false" customHeight="false" outlineLevel="0" collapsed="false">
      <c r="A88" s="26" t="n">
        <v>50000</v>
      </c>
      <c r="B88" s="27" t="n">
        <f aca="false">MATCH(A88,'Break-even'!$C$6:$F$6,1)</f>
        <v>4</v>
      </c>
      <c r="C88" s="37" t="n">
        <f aca="false">IF(B88&gt;=4,INDEX('Break-even'!$C$12:$F$12,1,4),INDEX('Break-even'!$C$12:$F$12,1,B88)+(INDEX('Break-even'!$C$12:$F$12,1,B88+1)-INDEX('Break-even'!$C$12:$F$12,1,B88))*LN(A88/INDEX('Break-even'!$C$6:$F$6,1,B88))/LN(INDEX('Break-even'!$C$6:$F$6,1,B88+1)/INDEX('Break-even'!$C$6:$F$6,1,B88)))</f>
        <v>1.8</v>
      </c>
      <c r="D88" s="37" t="n">
        <f aca="false">IF(B88&gt;=4,INDEX('Break-even'!$C$13:$F$13,1,4),INDEX('Break-even'!$C$13:$F$13,1,B88)+(INDEX('Break-even'!$C$13:$F$13,1,B88+1)-INDEX('Break-even'!$C$13:$F$13,1,B88))*LN(A88/INDEX('Break-even'!$C$6:$F$6,1,B88))/LN(INDEX('Break-even'!$C$6:$F$6,1,B88+1)/INDEX('Break-even'!$C$6:$F$6,1,B88)))</f>
        <v>0.488104200396</v>
      </c>
      <c r="E88" s="27" t="n">
        <f aca="false">CEILING(A88/('Break-even'!$C$26*Ipoteze!$C$20),1)</f>
        <v>2</v>
      </c>
      <c r="F88" s="27" t="n">
        <f aca="false">MIN(Ipoteze!$C$20,CEILING(A88/('Break-even'!$C$26*E88),1))</f>
        <v>2</v>
      </c>
      <c r="G88" s="27" t="n">
        <f aca="false">E88*F88</f>
        <v>4</v>
      </c>
      <c r="H88" s="42" t="n">
        <f aca="false">E88*'Break-even'!$C$25/Ipoteze!$C$90+G88*('Break-even'!$C$27+'Break-even'!$C$19)+E88*Ipoteze!$C$155*'Break-even'!$C$22+Ipoteze!$C$124*E88*'Break-even'!$C$25+Ipoteze!$C$154*Ipoteze!$C$16*Ipoteze!$C$15*F88*E88*Ipoteze!$C$101/Ipoteze!$C$7+Ipoteze!$C$156</f>
        <v>91710.7461411765</v>
      </c>
      <c r="I88" s="37" t="n">
        <f aca="false">IF(B88&gt;=4,INDEX('Break-even'!$C$14:$F$14,1,4),INDEX('Break-even'!$C$14:$F$14,1,B88)+(INDEX('Break-even'!$C$14:$F$14,1,B88+1)-INDEX('Break-even'!$C$14:$F$14,1,B88))*LN(A88/INDEX('Break-even'!$C$6:$F$6,1,B88))/LN(INDEX('Break-even'!$C$6:$F$6,1,B88+1)/INDEX('Break-even'!$C$6:$F$6,1,B88)))</f>
        <v>0.295787</v>
      </c>
      <c r="J88" s="42" t="n">
        <f aca="false">H88+A88*I88</f>
        <v>106500.096141176</v>
      </c>
      <c r="K88" s="37" t="n">
        <f aca="false">J88/A88</f>
        <v>2.13000192282353</v>
      </c>
      <c r="L88" s="42" t="n">
        <f aca="false">A88*C88</f>
        <v>90000</v>
      </c>
      <c r="M88" s="42" t="n">
        <f aca="false">A88*D88</f>
        <v>24405.2100198</v>
      </c>
      <c r="N88" s="27" t="n">
        <f aca="false">IF(J88&lt;L88,1,0)</f>
        <v>0</v>
      </c>
      <c r="O88" s="27" t="n">
        <f aca="false">IF(J88&lt;M88,1,0)</f>
        <v>0</v>
      </c>
    </row>
    <row r="89" customFormat="false" ht="15" hidden="false" customHeight="false" outlineLevel="0" collapsed="false">
      <c r="A89" s="26" t="n">
        <v>60000</v>
      </c>
      <c r="B89" s="27" t="n">
        <f aca="false">MATCH(A89,'Break-even'!$C$6:$F$6,1)</f>
        <v>4</v>
      </c>
      <c r="C89" s="37" t="n">
        <f aca="false">IF(B89&gt;=4,INDEX('Break-even'!$C$12:$F$12,1,4),INDEX('Break-even'!$C$12:$F$12,1,B89)+(INDEX('Break-even'!$C$12:$F$12,1,B89+1)-INDEX('Break-even'!$C$12:$F$12,1,B89))*LN(A89/INDEX('Break-even'!$C$6:$F$6,1,B89))/LN(INDEX('Break-even'!$C$6:$F$6,1,B89+1)/INDEX('Break-even'!$C$6:$F$6,1,B89)))</f>
        <v>1.8</v>
      </c>
      <c r="D89" s="37" t="n">
        <f aca="false">IF(B89&gt;=4,INDEX('Break-even'!$C$13:$F$13,1,4),INDEX('Break-even'!$C$13:$F$13,1,B89)+(INDEX('Break-even'!$C$13:$F$13,1,B89+1)-INDEX('Break-even'!$C$13:$F$13,1,B89))*LN(A89/INDEX('Break-even'!$C$6:$F$6,1,B89))/LN(INDEX('Break-even'!$C$6:$F$6,1,B89+1)/INDEX('Break-even'!$C$6:$F$6,1,B89)))</f>
        <v>0.488104200396</v>
      </c>
      <c r="E89" s="27" t="n">
        <f aca="false">CEILING(A89/('Break-even'!$C$26*Ipoteze!$C$20),1)</f>
        <v>2</v>
      </c>
      <c r="F89" s="27" t="n">
        <f aca="false">MIN(Ipoteze!$C$20,CEILING(A89/('Break-even'!$C$26*E89),1))</f>
        <v>2</v>
      </c>
      <c r="G89" s="27" t="n">
        <f aca="false">E89*F89</f>
        <v>4</v>
      </c>
      <c r="H89" s="42" t="n">
        <f aca="false">E89*'Break-even'!$C$25/Ipoteze!$C$90+G89*('Break-even'!$C$27+'Break-even'!$C$19)+E89*Ipoteze!$C$155*'Break-even'!$C$22+Ipoteze!$C$124*E89*'Break-even'!$C$25+Ipoteze!$C$154*Ipoteze!$C$16*Ipoteze!$C$15*F89*E89*Ipoteze!$C$101/Ipoteze!$C$7+Ipoteze!$C$156</f>
        <v>91710.7461411765</v>
      </c>
      <c r="I89" s="37" t="n">
        <f aca="false">IF(B89&gt;=4,INDEX('Break-even'!$C$14:$F$14,1,4),INDEX('Break-even'!$C$14:$F$14,1,B89)+(INDEX('Break-even'!$C$14:$F$14,1,B89+1)-INDEX('Break-even'!$C$14:$F$14,1,B89))*LN(A89/INDEX('Break-even'!$C$6:$F$6,1,B89))/LN(INDEX('Break-even'!$C$6:$F$6,1,B89+1)/INDEX('Break-even'!$C$6:$F$6,1,B89)))</f>
        <v>0.295787</v>
      </c>
      <c r="J89" s="42" t="n">
        <f aca="false">H89+A89*I89</f>
        <v>109457.966141176</v>
      </c>
      <c r="K89" s="37" t="n">
        <f aca="false">J89/A89</f>
        <v>1.82429943568627</v>
      </c>
      <c r="L89" s="42" t="n">
        <f aca="false">A89*C89</f>
        <v>108000</v>
      </c>
      <c r="M89" s="42" t="n">
        <f aca="false">A89*D89</f>
        <v>29286.25202376</v>
      </c>
      <c r="N89" s="27" t="n">
        <f aca="false">IF(J89&lt;L89,1,0)</f>
        <v>0</v>
      </c>
      <c r="O89" s="27" t="n">
        <f aca="false">IF(J89&lt;M89,1,0)</f>
        <v>0</v>
      </c>
    </row>
    <row r="90" customFormat="false" ht="15" hidden="false" customHeight="false" outlineLevel="0" collapsed="false">
      <c r="B90" s="11" t="s">
        <v>860</v>
      </c>
      <c r="C90" s="46" t="n">
        <f aca="false">IFERROR(INDEX(A77:A89,MATCH(1,N77:N89,0)),"peste 60.000")</f>
        <v>20000</v>
      </c>
    </row>
    <row r="91" customFormat="false" ht="15" hidden="false" customHeight="false" outlineLevel="0" collapsed="false">
      <c r="B91" s="11" t="s">
        <v>861</v>
      </c>
      <c r="C91" s="46" t="str">
        <f aca="false">IFERROR(INDEX(A77:A89,MATCH(1,O77:O89,0)),"peste 60.000")</f>
        <v>peste 60.000</v>
      </c>
    </row>
    <row r="92" customFormat="false" ht="15" hidden="false" customHeight="false" outlineLevel="0" collapsed="false">
      <c r="B92" s="0" t="s">
        <v>862</v>
      </c>
      <c r="C92" s="0" t="n">
        <f aca="false">SUM(N77:N89)</f>
        <v>2</v>
      </c>
    </row>
    <row r="93" customFormat="false" ht="15" hidden="false" customHeight="false" outlineLevel="0" collapsed="false">
      <c r="B93" s="0" t="s">
        <v>863</v>
      </c>
      <c r="C93" s="0" t="n">
        <f aca="false">SUM(O77:O89)</f>
        <v>0</v>
      </c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11" min="3" style="0" width="13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5" t="s">
        <v>864</v>
      </c>
    </row>
    <row r="2" customFormat="false" ht="30" hidden="false" customHeight="true" outlineLevel="0" collapsed="false">
      <c r="A2" s="6" t="s">
        <v>865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23.85" hidden="false" customHeight="false" outlineLevel="0" collapsed="false">
      <c r="A4" s="45" t="s">
        <v>866</v>
      </c>
      <c r="B4" s="45" t="s">
        <v>867</v>
      </c>
      <c r="C4" s="45" t="s">
        <v>868</v>
      </c>
      <c r="D4" s="45" t="s">
        <v>869</v>
      </c>
      <c r="E4" s="45" t="s">
        <v>870</v>
      </c>
      <c r="F4" s="45" t="s">
        <v>871</v>
      </c>
      <c r="G4" s="45" t="s">
        <v>872</v>
      </c>
      <c r="H4" s="45" t="s">
        <v>873</v>
      </c>
      <c r="I4" s="45" t="s">
        <v>874</v>
      </c>
      <c r="J4" s="45" t="s">
        <v>875</v>
      </c>
      <c r="K4" s="45"/>
      <c r="L4" s="45" t="s">
        <v>876</v>
      </c>
    </row>
    <row r="5" customFormat="false" ht="22.35" hidden="false" customHeight="false" outlineLevel="0" collapsed="false">
      <c r="A5" s="9" t="s">
        <v>877</v>
      </c>
      <c r="B5" s="47" t="n">
        <f aca="false">Ipoteze!D$66</f>
        <v>25</v>
      </c>
      <c r="C5" s="27" t="n">
        <v>1</v>
      </c>
      <c r="D5" s="47" t="n">
        <f aca="false">Ipoteze!$C$18*C5/B5</f>
        <v>16.32</v>
      </c>
      <c r="E5" s="27" t="n">
        <f aca="false">D5*Ipoteze!$C$15</f>
        <v>3590.4</v>
      </c>
      <c r="F5" s="41" t="n">
        <f aca="false">Scenarii!C34</f>
        <v>0.0501336898395722</v>
      </c>
      <c r="G5" s="41" t="n">
        <f aca="false">Scenarii!D34</f>
        <v>0.278520499108734</v>
      </c>
      <c r="H5" s="41" t="n">
        <f aca="false">Scenarii!E34</f>
        <v>1.11408199643494</v>
      </c>
      <c r="I5" s="41" t="n">
        <f aca="false">Scenarii!F34</f>
        <v>3.34224598930481</v>
      </c>
      <c r="J5" s="36" t="n">
        <f aca="false">I5/MAX(1,CEILING(I5,1))</f>
        <v>0.835561497326203</v>
      </c>
      <c r="L5" s="2" t="s">
        <v>878</v>
      </c>
    </row>
    <row r="6" customFormat="false" ht="15" hidden="false" customHeight="false" outlineLevel="0" collapsed="false">
      <c r="A6" s="9" t="s">
        <v>879</v>
      </c>
      <c r="B6" s="47" t="n">
        <f aca="false">Ipoteze!$C$68</f>
        <v>2</v>
      </c>
      <c r="C6" s="27" t="n">
        <f aca="false">Ipoteze!$C$69</f>
        <v>4</v>
      </c>
      <c r="D6" s="47" t="n">
        <f aca="false">Ipoteze!$C$18*C6/B6</f>
        <v>816</v>
      </c>
      <c r="E6" s="27" t="n">
        <f aca="false">D6*Ipoteze!$C$15</f>
        <v>179520</v>
      </c>
      <c r="F6" s="27" t="n">
        <f aca="false">MAX(1,CEILING(Ipoteze!C$9/(E6*Ipoteze!$C$21),1))</f>
        <v>1</v>
      </c>
      <c r="G6" s="27" t="n">
        <f aca="false">MAX(1,CEILING(Ipoteze!D$9/(E6*Ipoteze!$C$21),1))</f>
        <v>1</v>
      </c>
      <c r="H6" s="27" t="n">
        <f aca="false">MAX(1,CEILING(Ipoteze!E$9/(E6*Ipoteze!$C$21),1))</f>
        <v>1</v>
      </c>
      <c r="I6" s="27" t="n">
        <f aca="false">MAX(1,CEILING(Ipoteze!F$9/(E6*Ipoteze!$C$21),1))</f>
        <v>1</v>
      </c>
      <c r="J6" s="36" t="n">
        <f aca="false">Ipoteze!F$9/(E6*IF(I6&lt;1,1,CEILING(I6,1)))</f>
        <v>0.111408199643494</v>
      </c>
      <c r="L6" s="2" t="s">
        <v>880</v>
      </c>
    </row>
    <row r="7" customFormat="false" ht="15" hidden="false" customHeight="false" outlineLevel="0" collapsed="false">
      <c r="A7" s="9" t="s">
        <v>881</v>
      </c>
      <c r="B7" s="47" t="n">
        <f aca="false">Ipoteze!$C$67</f>
        <v>4</v>
      </c>
      <c r="C7" s="27" t="n">
        <v>1</v>
      </c>
      <c r="D7" s="47" t="n">
        <f aca="false">Ipoteze!$C$18*C7/B7</f>
        <v>102</v>
      </c>
      <c r="E7" s="27" t="n">
        <f aca="false">D7*Ipoteze!$C$15</f>
        <v>22440</v>
      </c>
      <c r="F7" s="27" t="n">
        <f aca="false">MAX(1,CEILING(Ipoteze!C$9/(E7*Ipoteze!$C$21),1))</f>
        <v>1</v>
      </c>
      <c r="G7" s="27" t="n">
        <f aca="false">MAX(1,CEILING(Ipoteze!D$9/(E7*Ipoteze!$C$21),1))</f>
        <v>1</v>
      </c>
      <c r="H7" s="27" t="n">
        <f aca="false">MAX(1,CEILING(Ipoteze!E$9/(E7*Ipoteze!$C$21),1))</f>
        <v>1</v>
      </c>
      <c r="I7" s="27" t="n">
        <f aca="false">MAX(1,CEILING(Ipoteze!F$9/(E7*Ipoteze!$C$21),1))</f>
        <v>2</v>
      </c>
      <c r="J7" s="36" t="n">
        <f aca="false">Ipoteze!F$9/(E7*IF(I7&lt;1,1,CEILING(I7,1)))</f>
        <v>0.445632798573975</v>
      </c>
      <c r="L7" s="2" t="s">
        <v>882</v>
      </c>
    </row>
    <row r="8" customFormat="false" ht="15" hidden="false" customHeight="false" outlineLevel="0" collapsed="false">
      <c r="A8" s="9" t="s">
        <v>883</v>
      </c>
      <c r="B8" s="47" t="n">
        <f aca="false">Ipoteze!$C$70</f>
        <v>10</v>
      </c>
      <c r="C8" s="27" t="n">
        <f aca="false">Ipoteze!$C$71</f>
        <v>20</v>
      </c>
      <c r="D8" s="47" t="n">
        <f aca="false">Ipoteze!$C$18*C8/B8</f>
        <v>816</v>
      </c>
      <c r="E8" s="27" t="n">
        <f aca="false">D8*Ipoteze!$C$15</f>
        <v>179520</v>
      </c>
      <c r="F8" s="27" t="n">
        <f aca="false">MAX(1,CEILING(Ipoteze!C$9/(E8*Ipoteze!$C$21),1))</f>
        <v>1</v>
      </c>
      <c r="G8" s="27" t="n">
        <f aca="false">MAX(1,CEILING(Ipoteze!D$9/(E8*Ipoteze!$C$21),1))</f>
        <v>1</v>
      </c>
      <c r="H8" s="27" t="n">
        <f aca="false">MAX(1,CEILING(Ipoteze!E$9/(E8*Ipoteze!$C$21),1))</f>
        <v>1</v>
      </c>
      <c r="I8" s="27" t="n">
        <f aca="false">MAX(1,CEILING(Ipoteze!F$9/(E8*Ipoteze!$C$21),1))</f>
        <v>1</v>
      </c>
      <c r="J8" s="36" t="n">
        <f aca="false">Ipoteze!F$9/(E8*IF(I8&lt;1,1,CEILING(I8,1)))</f>
        <v>0.111408199643494</v>
      </c>
      <c r="L8" s="2" t="s">
        <v>884</v>
      </c>
    </row>
    <row r="9" customFormat="false" ht="15" hidden="false" customHeight="false" outlineLevel="0" collapsed="false">
      <c r="A9" s="9" t="s">
        <v>885</v>
      </c>
      <c r="B9" s="47" t="n">
        <f aca="false">Ipoteze!$C$72</f>
        <v>1</v>
      </c>
      <c r="C9" s="27" t="n">
        <v>1</v>
      </c>
      <c r="D9" s="47" t="n">
        <f aca="false">Ipoteze!$C$18*C9/B9</f>
        <v>408</v>
      </c>
      <c r="E9" s="27" t="n">
        <f aca="false">D9*Ipoteze!$C$15</f>
        <v>89760</v>
      </c>
      <c r="F9" s="27" t="n">
        <f aca="false">MAX(1,CEILING(Ipoteze!C$9/(E9*Ipoteze!$C$21),1))</f>
        <v>1</v>
      </c>
      <c r="G9" s="27" t="n">
        <f aca="false">MAX(1,CEILING(Ipoteze!D$9/(E9*Ipoteze!$C$21),1))</f>
        <v>1</v>
      </c>
      <c r="H9" s="27" t="n">
        <f aca="false">MAX(1,CEILING(Ipoteze!E$9/(E9*Ipoteze!$C$21),1))</f>
        <v>1</v>
      </c>
      <c r="I9" s="27" t="n">
        <f aca="false">MAX(1,CEILING(Ipoteze!F$9/(E9*Ipoteze!$C$21),1))</f>
        <v>1</v>
      </c>
      <c r="J9" s="36" t="n">
        <f aca="false">Ipoteze!F$9/(E9*IF(I9&lt;1,1,CEILING(I9,1)))</f>
        <v>0.222816399286988</v>
      </c>
      <c r="L9" s="2" t="s">
        <v>886</v>
      </c>
    </row>
    <row r="10" customFormat="false" ht="15" hidden="false" customHeight="false" outlineLevel="0" collapsed="false">
      <c r="A10" s="9" t="s">
        <v>887</v>
      </c>
      <c r="B10" s="47" t="n">
        <f aca="false">Ipoteze!$C$125</f>
        <v>24</v>
      </c>
      <c r="C10" s="27" t="n">
        <v>1</v>
      </c>
      <c r="D10" s="47" t="n">
        <f aca="false">Ipoteze!$C$18*C10/B10</f>
        <v>17</v>
      </c>
      <c r="E10" s="27" t="n">
        <f aca="false">D10*Ipoteze!$C$15</f>
        <v>3740</v>
      </c>
      <c r="F10" s="27" t="n">
        <f aca="false">Scenarii!C42</f>
        <v>1</v>
      </c>
      <c r="G10" s="27" t="n">
        <f aca="false">Scenarii!D42</f>
        <v>1</v>
      </c>
      <c r="H10" s="27" t="n">
        <f aca="false">Scenarii!E42</f>
        <v>1</v>
      </c>
      <c r="I10" s="27" t="n">
        <f aca="false">Scenarii!F42</f>
        <v>3</v>
      </c>
      <c r="J10" s="36" t="n">
        <f aca="false">Scenarii!F45</f>
        <v>0.89126559714795</v>
      </c>
      <c r="L10" s="2" t="s">
        <v>888</v>
      </c>
    </row>
    <row r="11" customFormat="false" ht="15" hidden="false" customHeight="false" outlineLevel="0" collapsed="false">
      <c r="A11" s="9" t="s">
        <v>889</v>
      </c>
      <c r="B11" s="47" t="n">
        <f aca="false">Ipoteze!$C$126</f>
        <v>45</v>
      </c>
      <c r="C11" s="27" t="n">
        <v>1</v>
      </c>
      <c r="D11" s="47" t="n">
        <f aca="false">Ipoteze!$C$18*C11/B11</f>
        <v>9.06666666666667</v>
      </c>
      <c r="E11" s="27" t="n">
        <f aca="false">D11*Ipoteze!$C$15</f>
        <v>1994.66666666667</v>
      </c>
      <c r="F11" s="27" t="n">
        <f aca="false">CEILING(Ipoteze!C$9/(E11*Ipoteze!$C$20),1)</f>
        <v>1</v>
      </c>
      <c r="G11" s="27" t="n">
        <f aca="false">CEILING(Ipoteze!D$9/(E11*Ipoteze!$C$20),1)</f>
        <v>1</v>
      </c>
      <c r="H11" s="27" t="n">
        <f aca="false">CEILING(Ipoteze!E$9/(E11*Ipoteze!$C$20),1)</f>
        <v>2</v>
      </c>
      <c r="I11" s="27" t="n">
        <f aca="false">CEILING(Ipoteze!F$9/(E11*Ipoteze!$C$20),1)</f>
        <v>6</v>
      </c>
      <c r="J11" s="36" t="n">
        <f aca="false">Ipoteze!F$9/(E11*I11*Ipoteze!$C$20)</f>
        <v>0.835561497326203</v>
      </c>
      <c r="L11" s="2" t="s">
        <v>890</v>
      </c>
    </row>
    <row r="12" customFormat="false" ht="15" hidden="false" customHeight="false" outlineLevel="0" collapsed="false">
      <c r="A12" s="9" t="s">
        <v>891</v>
      </c>
      <c r="B12" s="47" t="n">
        <f aca="false">Ipoteze!$C$52/Ipoteze!$C$149*60+Ipoteze!$C$150</f>
        <v>4.1</v>
      </c>
      <c r="C12" s="27" t="n">
        <v>1</v>
      </c>
      <c r="D12" s="47" t="n">
        <f aca="false">Ipoteze!$C$18*C12/B12</f>
        <v>99.5121951219512</v>
      </c>
      <c r="E12" s="27" t="n">
        <f aca="false">D12*Ipoteze!$C$15</f>
        <v>21892.6829268293</v>
      </c>
      <c r="F12" s="27" t="n">
        <f aca="false">Scenarii!C50</f>
        <v>1</v>
      </c>
      <c r="G12" s="27" t="n">
        <f aca="false">Scenarii!D50</f>
        <v>1</v>
      </c>
      <c r="H12" s="27" t="n">
        <f aca="false">Scenarii!E50</f>
        <v>1</v>
      </c>
      <c r="I12" s="27" t="n">
        <f aca="false">Scenarii!F50</f>
        <v>1</v>
      </c>
      <c r="J12" s="36" t="n">
        <f aca="false">Ipoteze!F$9/(E12*Scenarii!F50*Scenarii!F51)</f>
        <v>0.913547237076649</v>
      </c>
      <c r="L12" s="2" t="s">
        <v>892</v>
      </c>
    </row>
    <row r="14" customFormat="false" ht="15" hidden="false" customHeight="false" outlineLevel="0" collapsed="false">
      <c r="A14" s="11" t="s">
        <v>893</v>
      </c>
      <c r="D14" s="48" t="n">
        <f aca="false">MIN(D5:D9)</f>
        <v>16.32</v>
      </c>
      <c r="E14" s="49" t="str">
        <f aca="false">INDEX(A5:A9,MATCH(D14,D5:D9,0))</f>
        <v>Banc asamblare (1 operator)</v>
      </c>
      <c r="F14" s="49"/>
      <c r="G14" s="49"/>
      <c r="H14" s="49"/>
      <c r="I14" s="49"/>
    </row>
    <row r="15" customFormat="false" ht="15" hidden="false" customHeight="false" outlineLevel="0" collapsed="false">
      <c r="A15" s="11" t="s">
        <v>894</v>
      </c>
      <c r="D15" s="48" t="n">
        <f aca="false">MIN(D5:D10)</f>
        <v>16.32</v>
      </c>
      <c r="E15" s="49" t="str">
        <f aca="false">INDEX(A5:A10,MATCH(D15,D5:D10,0))</f>
        <v>Banc asamblare (1 operator)</v>
      </c>
      <c r="F15" s="49"/>
      <c r="G15" s="49"/>
      <c r="H15" s="49"/>
      <c r="I15" s="49"/>
    </row>
    <row r="17" customFormat="false" ht="15" hidden="false" customHeight="false" outlineLevel="0" collapsed="false">
      <c r="A17" s="11" t="s">
        <v>895</v>
      </c>
      <c r="F17" s="50" t="n">
        <f aca="false">Ipoteze!C$9</f>
        <v>100</v>
      </c>
      <c r="G17" s="50" t="n">
        <f aca="false">Ipoteze!D$9</f>
        <v>1000</v>
      </c>
      <c r="H17" s="50" t="n">
        <f aca="false">Ipoteze!E$9</f>
        <v>5000</v>
      </c>
      <c r="I17" s="50" t="n">
        <f aca="false">Ipoteze!F$9</f>
        <v>20000</v>
      </c>
    </row>
    <row r="18" customFormat="false" ht="15" hidden="false" customHeight="false" outlineLevel="0" collapsed="false">
      <c r="A18" s="9" t="s">
        <v>896</v>
      </c>
      <c r="F18" s="27" t="n">
        <f aca="false">Scenarii!C38</f>
        <v>1</v>
      </c>
      <c r="G18" s="27" t="n">
        <f aca="false">Scenarii!D38</f>
        <v>1</v>
      </c>
      <c r="H18" s="27" t="n">
        <f aca="false">Scenarii!E38</f>
        <v>3</v>
      </c>
      <c r="I18" s="27" t="n">
        <f aca="false">Scenarii!F38</f>
        <v>6</v>
      </c>
    </row>
    <row r="19" customFormat="false" ht="15" hidden="false" customHeight="false" outlineLevel="0" collapsed="false">
      <c r="A19" s="9" t="s">
        <v>897</v>
      </c>
      <c r="F19" s="27" t="n">
        <f aca="false">Scenarii!C55</f>
        <v>2</v>
      </c>
      <c r="G19" s="27" t="n">
        <f aca="false">Scenarii!D55</f>
        <v>2</v>
      </c>
      <c r="H19" s="27" t="n">
        <f aca="false">Scenarii!E55</f>
        <v>5</v>
      </c>
      <c r="I19" s="27" t="n">
        <f aca="false">Scenarii!F55</f>
        <v>10</v>
      </c>
    </row>
    <row r="20" customFormat="false" ht="15" hidden="false" customHeight="false" outlineLevel="0" collapsed="false">
      <c r="A20" s="9" t="s">
        <v>898</v>
      </c>
      <c r="F20" s="27" t="n">
        <f aca="false">Scenarii!C56</f>
        <v>3</v>
      </c>
      <c r="G20" s="27" t="n">
        <f aca="false">Scenarii!D56</f>
        <v>3</v>
      </c>
      <c r="H20" s="27" t="n">
        <f aca="false">Scenarii!E56</f>
        <v>6</v>
      </c>
      <c r="I20" s="27" t="n">
        <f aca="false">Scenarii!F56</f>
        <v>11</v>
      </c>
    </row>
  </sheetData>
  <mergeCells count="3">
    <mergeCell ref="A2:L2"/>
    <mergeCell ref="E14:I14"/>
    <mergeCell ref="E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2026-10-22T12:25:07Z</dcterms:created>
  <dc:creator>openpyxl</dc:creator>
  <dc:description/>
  <dc:language>en-US</dc:language>
  <cp:lastModifiedBy/>
  <dcterms:modified xsi:type="dcterms:W3CDTF">2026-10-22T12:25:07Z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